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encher pelo celular" sheetId="1" state="visible" r:id="rId1"/>
    <sheet xmlns:r="http://schemas.openxmlformats.org/officeDocument/2006/relationships" name="Histórico por dia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mo usar" sheetId="4" state="visible" r:id="rId4"/>
    <sheet xmlns:r="http://schemas.openxmlformats.org/officeDocument/2006/relationships" name="Folha diária A4" sheetId="5" state="visible" r:id="rId5"/>
  </sheets>
  <definedNames>
    <definedName name="_xlnm._FilterDatabase" localSheetId="0" hidden="1">'Preencher pelo celular'!$A$1:$M$541</definedName>
    <definedName name="_xlnm.Print_Titles" localSheetId="0">'Preencher pelo celular'!$1:$1</definedName>
    <definedName name="_xlnm.Print_Titles" localSheetId="1">'Histórico por dia'!$2:$3</definedName>
    <definedName name="_xlnm.Print_Area" localSheetId="4">'Folha diária A4'!$A$1:$E$11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dd/mm (ddd)"/>
    <numFmt numFmtId="167" formatCode="hh:mm"/>
    <numFmt numFmtId="168" formatCode="0.0"/>
    <numFmt numFmtId="169" formatCode="+0;-0;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404040"/>
      <sz val="11"/>
    </font>
    <font>
      <name val="Arial"/>
      <b val="1"/>
      <color rgb="00FFFFFF"/>
      <sz val="10"/>
    </font>
    <font>
      <name val="Arial"/>
      <b val="1"/>
      <color rgb="00333333"/>
      <sz val="11"/>
    </font>
    <font>
      <name val="Arial"/>
      <i val="1"/>
      <color rgb="00666666"/>
      <sz val="9"/>
    </font>
    <font>
      <name val="Arial"/>
      <b val="1"/>
      <color rgb="00FFFFFF"/>
      <sz val="14"/>
    </font>
    <font>
      <name val="Arial"/>
      <b val="1"/>
      <color rgb="001F4E78"/>
      <sz val="11"/>
    </font>
    <font>
      <name val="Arial"/>
      <b val="1"/>
      <sz val="10"/>
    </font>
    <font>
      <name val="Arial"/>
      <b val="1"/>
      <color rgb="000000FF"/>
      <sz val="11"/>
    </font>
    <font>
      <name val="Arial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AFAFA"/>
      </patternFill>
    </fill>
    <fill>
      <patternFill patternType="solid">
        <fgColor rgb="00FFF8E1"/>
      </patternFill>
    </fill>
    <fill>
      <patternFill patternType="solid">
        <fgColor rgb="00EDEFF2"/>
      </patternFill>
    </fill>
    <fill>
      <patternFill patternType="solid">
        <fgColor rgb="00F3F7FB"/>
      </patternFill>
    </fill>
  </fills>
  <borders count="4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medium">
        <color rgb="001F4E78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/>
    </xf>
    <xf numFmtId="0" fontId="3" fillId="2" borderId="3" applyAlignment="1" pivotButton="0" quotePrefix="0" xfId="0">
      <alignment horizontal="center" vertical="center" wrapText="1"/>
    </xf>
    <xf numFmtId="166" fontId="8" fillId="5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 wrapText="1"/>
    </xf>
    <xf numFmtId="167" fontId="10" fillId="0" borderId="3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166" fontId="8" fillId="0" borderId="3" applyAlignment="1" pivotButton="0" quotePrefix="0" xfId="0">
      <alignment horizontal="center" vertical="center"/>
    </xf>
    <xf numFmtId="1" fontId="8" fillId="5" borderId="3" applyAlignment="1" pivotButton="0" quotePrefix="0" xfId="0">
      <alignment horizontal="center" vertical="center"/>
    </xf>
    <xf numFmtId="166" fontId="8" fillId="6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pivotButton="0" quotePrefix="0" xfId="0"/>
    <xf numFmtId="165" fontId="9" fillId="4" borderId="3" pivotButton="0" quotePrefix="0" xfId="0"/>
    <xf numFmtId="0" fontId="8" fillId="0" borderId="0" applyAlignment="1" pivotButton="0" quotePrefix="0" xfId="0">
      <alignment horizontal="left"/>
    </xf>
    <xf numFmtId="1" fontId="8" fillId="0" borderId="3" applyAlignment="1" pivotButton="0" quotePrefix="0" xfId="0">
      <alignment horizontal="left" vertical="center"/>
    </xf>
    <xf numFmtId="1" fontId="10" fillId="0" borderId="3" applyAlignment="1" pivotButton="0" quotePrefix="0" xfId="0">
      <alignment horizontal="center" vertical="center"/>
    </xf>
    <xf numFmtId="168" fontId="10" fillId="0" borderId="3" applyAlignment="1" pivotButton="0" quotePrefix="0" xfId="0">
      <alignment horizontal="center" vertical="center"/>
    </xf>
    <xf numFmtId="169" fontId="10" fillId="0" borderId="3" applyAlignment="1" pivotButton="0" quotePrefix="0" xfId="0">
      <alignment horizontal="center" vertical="center"/>
    </xf>
    <xf numFmtId="1" fontId="8" fillId="5" borderId="3" applyAlignment="1" pivotButton="0" quotePrefix="0" xfId="0">
      <alignment horizontal="left" vertical="center"/>
    </xf>
    <xf numFmtId="168" fontId="8" fillId="5" borderId="3" applyAlignment="1" pivotButton="0" quotePrefix="0" xfId="0">
      <alignment horizontal="center" vertical="center"/>
    </xf>
    <xf numFmtId="169" fontId="8" fillId="5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7" fillId="0" borderId="0" pivotButton="0" quotePrefix="0" xfId="0"/>
    <xf numFmtId="165" fontId="9" fillId="4" borderId="3" applyAlignment="1" pivotButton="0" quotePrefix="0" xfId="0">
      <alignment horizontal="left"/>
    </xf>
    <xf numFmtId="0" fontId="7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/>
    </xf>
    <xf numFmtId="0" fontId="8" fillId="5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8E1"/>
        </patternFill>
      </fill>
    </dxf>
    <dxf>
      <fill>
        <patternFill patternType="solid">
          <fgColor rgb="00FFEF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Média diária de glicemia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 por dia'!T2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 por dia'!$A$4:$A$93</f>
            </numRef>
          </cat>
          <val>
            <numRef>
              <f>'Histórico por dia'!$T$3:$T$93</f>
            </numRef>
          </val>
        </ser>
        <ser>
          <idx val="1"/>
          <order val="1"/>
          <tx>
            <strRef>
              <f>'Histórico por dia'!U2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 por dia'!$A$4:$A$93</f>
            </numRef>
          </cat>
          <val>
            <numRef>
              <f>'Histórico por dia'!$U$3:$U$93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mg/dL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Média de glicemia por refeição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'Resumo'!$A$8:$A$13</f>
            </numRef>
          </cat>
          <val>
            <numRef>
              <f>'Resumo'!$C$8:$C$13</f>
            </numRef>
          </val>
        </ser>
        <ser>
          <idx val="1"/>
          <order val="1"/>
          <tx>
            <strRef>
              <f>'Resumo'!H7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'Resumo'!$A$8:$A$13</f>
            </numRef>
          </cat>
          <val>
            <numRef>
              <f>'Resumo'!$H$8:$H$13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mg/dL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Controle</author>
  </authors>
  <commentList>
    <comment ref="K15" authorId="0" shapeId="0">
      <text>
        <t>Diferença entre a média geral de 2h depois e a média geral antes.</t>
      </text>
    </comment>
  </commentList>
</comments>
</file>

<file path=xl/comments/comment2.xml><?xml version="1.0" encoding="utf-8"?>
<comments xmlns="http://schemas.openxmlformats.org/spreadsheetml/2006/main">
  <authors>
    <author>Controle</author>
  </authors>
  <commentList>
    <comment ref="B4" authorId="0" shapeId="0">
      <text>
        <t>Troque pela data do primeiro dia de registro. As datas de todas as abas são geradas a partir dela.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23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F2B705"/>
    <outlinePr summaryBelow="1" summaryRight="1"/>
    <pageSetUpPr fitToPage="1"/>
  </sheetPr>
  <dimension ref="A1:M54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10" customWidth="1" min="4" max="4"/>
    <col width="34" customWidth="1" min="5" max="5"/>
    <col width="12" customWidth="1" min="6" max="6"/>
    <col width="28" customWidth="1" min="7" max="7"/>
    <col width="10" customWidth="1" min="8" max="8"/>
    <col width="14" customWidth="1" min="9" max="9"/>
    <col width="10" customWidth="1" min="10" max="10"/>
    <col width="11" customWidth="1" min="11" max="11"/>
    <col width="18" customWidth="1" min="12" max="12"/>
    <col width="24" customWidth="1" min="13" max="13"/>
  </cols>
  <sheetData>
    <row r="1" ht="36" customHeight="1">
      <c r="A1" s="11" t="inlineStr">
        <is>
          <t>Data</t>
        </is>
      </c>
      <c r="B1" s="11" t="inlineStr">
        <is>
          <t>Refeição</t>
        </is>
      </c>
      <c r="C1" s="11" t="inlineStr">
        <is>
          <t>Glicemia antes
(mg/dL)</t>
        </is>
      </c>
      <c r="D1" s="11" t="inlineStr">
        <is>
          <t>Insulina
(unidades)</t>
        </is>
      </c>
      <c r="E1" s="11" t="inlineStr">
        <is>
          <t>O que comeu e bebeu</t>
        </is>
      </c>
      <c r="F1" s="11" t="inlineStr">
        <is>
          <t>Glicemia 2h
depois (mg/dL)</t>
        </is>
      </c>
      <c r="G1" s="11" t="inlineStr">
        <is>
          <t>Observações</t>
        </is>
      </c>
      <c r="H1" s="11" t="inlineStr">
        <is>
          <t>Horário
antes</t>
        </is>
      </c>
      <c r="I1" s="11" t="inlineStr">
        <is>
          <t>Horário da
refeição/insulina</t>
        </is>
      </c>
      <c r="J1" s="11" t="inlineStr">
        <is>
          <t>Horário
2h depois</t>
        </is>
      </c>
      <c r="K1" s="11" t="inlineStr">
        <is>
          <t>Carboidratos
(g)</t>
        </is>
      </c>
      <c r="L1" s="11" t="inlineStr">
        <is>
          <t>Local da
aplicação</t>
        </is>
      </c>
      <c r="M1" s="11" t="inlineStr">
        <is>
          <t>Etiquetas</t>
        </is>
      </c>
    </row>
    <row r="2">
      <c r="A2" s="12">
        <f>'Como usar'!$B$4+INT((ROW()-2)/6)</f>
        <v/>
      </c>
      <c r="B2" s="13" t="inlineStr">
        <is>
          <t>Café da manhã</t>
        </is>
      </c>
      <c r="C2" s="14" t="n"/>
      <c r="D2" s="14" t="n"/>
      <c r="E2" s="15" t="n"/>
      <c r="F2" s="14" t="n"/>
      <c r="G2" s="15" t="n"/>
      <c r="H2" s="16" t="n"/>
      <c r="I2" s="16" t="n"/>
      <c r="J2" s="16" t="n"/>
      <c r="K2" s="14" t="n"/>
      <c r="L2" s="14" t="n"/>
      <c r="M2" s="15" t="n"/>
    </row>
    <row r="3">
      <c r="A3" s="12">
        <f>'Como usar'!$B$4+INT((ROW()-2)/6)</f>
        <v/>
      </c>
      <c r="B3" s="13" t="inlineStr">
        <is>
          <t>Lanche</t>
        </is>
      </c>
      <c r="C3" s="14" t="n"/>
      <c r="D3" s="14" t="n"/>
      <c r="E3" s="15" t="n"/>
      <c r="F3" s="14" t="n"/>
      <c r="G3" s="15" t="n"/>
      <c r="H3" s="16" t="n"/>
      <c r="I3" s="16" t="n"/>
      <c r="J3" s="16" t="n"/>
      <c r="K3" s="14" t="n"/>
      <c r="L3" s="14" t="n"/>
      <c r="M3" s="15" t="n"/>
    </row>
    <row r="4">
      <c r="A4" s="12">
        <f>'Como usar'!$B$4+INT((ROW()-2)/6)</f>
        <v/>
      </c>
      <c r="B4" s="13" t="inlineStr">
        <is>
          <t>Almoço</t>
        </is>
      </c>
      <c r="C4" s="14" t="n"/>
      <c r="D4" s="14" t="n"/>
      <c r="E4" s="15" t="n"/>
      <c r="F4" s="14" t="n"/>
      <c r="G4" s="15" t="n"/>
      <c r="H4" s="16" t="n"/>
      <c r="I4" s="16" t="n"/>
      <c r="J4" s="16" t="n"/>
      <c r="K4" s="14" t="n"/>
      <c r="L4" s="14" t="n"/>
      <c r="M4" s="15" t="n"/>
    </row>
    <row r="5">
      <c r="A5" s="12">
        <f>'Como usar'!$B$4+INT((ROW()-2)/6)</f>
        <v/>
      </c>
      <c r="B5" s="13" t="inlineStr">
        <is>
          <t>Café da tarde</t>
        </is>
      </c>
      <c r="C5" s="14" t="n"/>
      <c r="D5" s="14" t="n"/>
      <c r="E5" s="15" t="n"/>
      <c r="F5" s="14" t="n"/>
      <c r="G5" s="15" t="n"/>
      <c r="H5" s="16" t="n"/>
      <c r="I5" s="16" t="n"/>
      <c r="J5" s="16" t="n"/>
      <c r="K5" s="14" t="n"/>
      <c r="L5" s="14" t="n"/>
      <c r="M5" s="15" t="n"/>
    </row>
    <row r="6">
      <c r="A6" s="12">
        <f>'Como usar'!$B$4+INT((ROW()-2)/6)</f>
        <v/>
      </c>
      <c r="B6" s="13" t="inlineStr">
        <is>
          <t>Janta</t>
        </is>
      </c>
      <c r="C6" s="14" t="n"/>
      <c r="D6" s="14" t="n"/>
      <c r="E6" s="15" t="n"/>
      <c r="F6" s="14" t="n"/>
      <c r="G6" s="15" t="n"/>
      <c r="H6" s="16" t="n"/>
      <c r="I6" s="16" t="n"/>
      <c r="J6" s="16" t="n"/>
      <c r="K6" s="14" t="n"/>
      <c r="L6" s="14" t="n"/>
      <c r="M6" s="15" t="n"/>
    </row>
    <row r="7">
      <c r="A7" s="12">
        <f>'Como usar'!$B$4+INT((ROW()-2)/6)</f>
        <v/>
      </c>
      <c r="B7" s="13" t="inlineStr">
        <is>
          <t>Ceia</t>
        </is>
      </c>
      <c r="C7" s="14" t="n"/>
      <c r="D7" s="14" t="n"/>
      <c r="E7" s="15" t="n"/>
      <c r="F7" s="14" t="n"/>
      <c r="G7" s="15" t="n"/>
      <c r="H7" s="16" t="n"/>
      <c r="I7" s="16" t="n"/>
      <c r="J7" s="16" t="n"/>
      <c r="K7" s="14" t="n"/>
      <c r="L7" s="14" t="n"/>
      <c r="M7" s="15" t="n"/>
    </row>
    <row r="8">
      <c r="A8" s="12">
        <f>'Como usar'!$B$4+INT((ROW()-2)/6)</f>
        <v/>
      </c>
      <c r="B8" s="13" t="inlineStr">
        <is>
          <t>Café da manhã</t>
        </is>
      </c>
      <c r="C8" s="14" t="n"/>
      <c r="D8" s="14" t="n"/>
      <c r="E8" s="15" t="n"/>
      <c r="F8" s="14" t="n"/>
      <c r="G8" s="15" t="n"/>
      <c r="H8" s="16" t="n"/>
      <c r="I8" s="16" t="n"/>
      <c r="J8" s="16" t="n"/>
      <c r="K8" s="14" t="n"/>
      <c r="L8" s="14" t="n"/>
      <c r="M8" s="15" t="n"/>
    </row>
    <row r="9">
      <c r="A9" s="12">
        <f>'Como usar'!$B$4+INT((ROW()-2)/6)</f>
        <v/>
      </c>
      <c r="B9" s="13" t="inlineStr">
        <is>
          <t>Lanche</t>
        </is>
      </c>
      <c r="C9" s="14" t="n"/>
      <c r="D9" s="14" t="n"/>
      <c r="E9" s="15" t="n"/>
      <c r="F9" s="14" t="n"/>
      <c r="G9" s="15" t="n"/>
      <c r="H9" s="16" t="n"/>
      <c r="I9" s="16" t="n"/>
      <c r="J9" s="16" t="n"/>
      <c r="K9" s="14" t="n"/>
      <c r="L9" s="14" t="n"/>
      <c r="M9" s="15" t="n"/>
    </row>
    <row r="10">
      <c r="A10" s="12">
        <f>'Como usar'!$B$4+INT((ROW()-2)/6)</f>
        <v/>
      </c>
      <c r="B10" s="13" t="inlineStr">
        <is>
          <t>Almoço</t>
        </is>
      </c>
      <c r="C10" s="14" t="n"/>
      <c r="D10" s="14" t="n"/>
      <c r="E10" s="15" t="n"/>
      <c r="F10" s="14" t="n"/>
      <c r="G10" s="15" t="n"/>
      <c r="H10" s="16" t="n"/>
      <c r="I10" s="16" t="n"/>
      <c r="J10" s="16" t="n"/>
      <c r="K10" s="14" t="n"/>
      <c r="L10" s="14" t="n"/>
      <c r="M10" s="15" t="n"/>
    </row>
    <row r="11">
      <c r="A11" s="12">
        <f>'Como usar'!$B$4+INT((ROW()-2)/6)</f>
        <v/>
      </c>
      <c r="B11" s="13" t="inlineStr">
        <is>
          <t>Café da tarde</t>
        </is>
      </c>
      <c r="C11" s="14" t="n"/>
      <c r="D11" s="14" t="n"/>
      <c r="E11" s="15" t="n"/>
      <c r="F11" s="14" t="n"/>
      <c r="G11" s="15" t="n"/>
      <c r="H11" s="16" t="n"/>
      <c r="I11" s="16" t="n"/>
      <c r="J11" s="16" t="n"/>
      <c r="K11" s="14" t="n"/>
      <c r="L11" s="14" t="n"/>
      <c r="M11" s="15" t="n"/>
    </row>
    <row r="12">
      <c r="A12" s="12">
        <f>'Como usar'!$B$4+INT((ROW()-2)/6)</f>
        <v/>
      </c>
      <c r="B12" s="13" t="inlineStr">
        <is>
          <t>Janta</t>
        </is>
      </c>
      <c r="C12" s="14" t="n"/>
      <c r="D12" s="14" t="n"/>
      <c r="E12" s="15" t="n"/>
      <c r="F12" s="14" t="n"/>
      <c r="G12" s="15" t="n"/>
      <c r="H12" s="16" t="n"/>
      <c r="I12" s="16" t="n"/>
      <c r="J12" s="16" t="n"/>
      <c r="K12" s="14" t="n"/>
      <c r="L12" s="14" t="n"/>
      <c r="M12" s="15" t="n"/>
    </row>
    <row r="13">
      <c r="A13" s="12">
        <f>'Como usar'!$B$4+INT((ROW()-2)/6)</f>
        <v/>
      </c>
      <c r="B13" s="13" t="inlineStr">
        <is>
          <t>Ceia</t>
        </is>
      </c>
      <c r="C13" s="14" t="n"/>
      <c r="D13" s="14" t="n"/>
      <c r="E13" s="15" t="n"/>
      <c r="F13" s="14" t="n"/>
      <c r="G13" s="15" t="n"/>
      <c r="H13" s="16" t="n"/>
      <c r="I13" s="16" t="n"/>
      <c r="J13" s="16" t="n"/>
      <c r="K13" s="14" t="n"/>
      <c r="L13" s="14" t="n"/>
      <c r="M13" s="15" t="n"/>
    </row>
    <row r="14">
      <c r="A14" s="12">
        <f>'Como usar'!$B$4+INT((ROW()-2)/6)</f>
        <v/>
      </c>
      <c r="B14" s="13" t="inlineStr">
        <is>
          <t>Café da manhã</t>
        </is>
      </c>
      <c r="C14" s="14" t="n"/>
      <c r="D14" s="14" t="n"/>
      <c r="E14" s="15" t="n"/>
      <c r="F14" s="14" t="n"/>
      <c r="G14" s="15" t="n"/>
      <c r="H14" s="16" t="n"/>
      <c r="I14" s="16" t="n"/>
      <c r="J14" s="16" t="n"/>
      <c r="K14" s="14" t="n"/>
      <c r="L14" s="14" t="n"/>
      <c r="M14" s="15" t="n"/>
    </row>
    <row r="15">
      <c r="A15" s="12">
        <f>'Como usar'!$B$4+INT((ROW()-2)/6)</f>
        <v/>
      </c>
      <c r="B15" s="13" t="inlineStr">
        <is>
          <t>Lanche</t>
        </is>
      </c>
      <c r="C15" s="14" t="n"/>
      <c r="D15" s="14" t="n"/>
      <c r="E15" s="15" t="n"/>
      <c r="F15" s="14" t="n"/>
      <c r="G15" s="15" t="n"/>
      <c r="H15" s="16" t="n"/>
      <c r="I15" s="16" t="n"/>
      <c r="J15" s="16" t="n"/>
      <c r="K15" s="14" t="n"/>
      <c r="L15" s="14" t="n"/>
      <c r="M15" s="15" t="n"/>
    </row>
    <row r="16">
      <c r="A16" s="12">
        <f>'Como usar'!$B$4+INT((ROW()-2)/6)</f>
        <v/>
      </c>
      <c r="B16" s="13" t="inlineStr">
        <is>
          <t>Almoço</t>
        </is>
      </c>
      <c r="C16" s="14" t="n"/>
      <c r="D16" s="14" t="n"/>
      <c r="E16" s="15" t="n"/>
      <c r="F16" s="14" t="n"/>
      <c r="G16" s="15" t="n"/>
      <c r="H16" s="16" t="n"/>
      <c r="I16" s="16" t="n"/>
      <c r="J16" s="16" t="n"/>
      <c r="K16" s="14" t="n"/>
      <c r="L16" s="14" t="n"/>
      <c r="M16" s="15" t="n"/>
    </row>
    <row r="17">
      <c r="A17" s="12">
        <f>'Como usar'!$B$4+INT((ROW()-2)/6)</f>
        <v/>
      </c>
      <c r="B17" s="13" t="inlineStr">
        <is>
          <t>Café da tarde</t>
        </is>
      </c>
      <c r="C17" s="14" t="n"/>
      <c r="D17" s="14" t="n"/>
      <c r="E17" s="15" t="n"/>
      <c r="F17" s="14" t="n"/>
      <c r="G17" s="15" t="n"/>
      <c r="H17" s="16" t="n"/>
      <c r="I17" s="16" t="n"/>
      <c r="J17" s="16" t="n"/>
      <c r="K17" s="14" t="n"/>
      <c r="L17" s="14" t="n"/>
      <c r="M17" s="15" t="n"/>
    </row>
    <row r="18">
      <c r="A18" s="12">
        <f>'Como usar'!$B$4+INT((ROW()-2)/6)</f>
        <v/>
      </c>
      <c r="B18" s="13" t="inlineStr">
        <is>
          <t>Janta</t>
        </is>
      </c>
      <c r="C18" s="14" t="n"/>
      <c r="D18" s="14" t="n"/>
      <c r="E18" s="15" t="n"/>
      <c r="F18" s="14" t="n"/>
      <c r="G18" s="15" t="n"/>
      <c r="H18" s="16" t="n"/>
      <c r="I18" s="16" t="n"/>
      <c r="J18" s="16" t="n"/>
      <c r="K18" s="14" t="n"/>
      <c r="L18" s="14" t="n"/>
      <c r="M18" s="15" t="n"/>
    </row>
    <row r="19">
      <c r="A19" s="12">
        <f>'Como usar'!$B$4+INT((ROW()-2)/6)</f>
        <v/>
      </c>
      <c r="B19" s="13" t="inlineStr">
        <is>
          <t>Ceia</t>
        </is>
      </c>
      <c r="C19" s="14" t="n"/>
      <c r="D19" s="14" t="n"/>
      <c r="E19" s="15" t="n"/>
      <c r="F19" s="14" t="n"/>
      <c r="G19" s="15" t="n"/>
      <c r="H19" s="16" t="n"/>
      <c r="I19" s="16" t="n"/>
      <c r="J19" s="16" t="n"/>
      <c r="K19" s="14" t="n"/>
      <c r="L19" s="14" t="n"/>
      <c r="M19" s="15" t="n"/>
    </row>
    <row r="20">
      <c r="A20" s="12">
        <f>'Como usar'!$B$4+INT((ROW()-2)/6)</f>
        <v/>
      </c>
      <c r="B20" s="13" t="inlineStr">
        <is>
          <t>Café da manhã</t>
        </is>
      </c>
      <c r="C20" s="14" t="n"/>
      <c r="D20" s="14" t="n"/>
      <c r="E20" s="15" t="n"/>
      <c r="F20" s="14" t="n"/>
      <c r="G20" s="15" t="n"/>
      <c r="H20" s="16" t="n"/>
      <c r="I20" s="16" t="n"/>
      <c r="J20" s="16" t="n"/>
      <c r="K20" s="14" t="n"/>
      <c r="L20" s="14" t="n"/>
      <c r="M20" s="15" t="n"/>
    </row>
    <row r="21">
      <c r="A21" s="12">
        <f>'Como usar'!$B$4+INT((ROW()-2)/6)</f>
        <v/>
      </c>
      <c r="B21" s="13" t="inlineStr">
        <is>
          <t>Lanche</t>
        </is>
      </c>
      <c r="C21" s="14" t="n"/>
      <c r="D21" s="14" t="n"/>
      <c r="E21" s="15" t="n"/>
      <c r="F21" s="14" t="n"/>
      <c r="G21" s="15" t="n"/>
      <c r="H21" s="16" t="n"/>
      <c r="I21" s="16" t="n"/>
      <c r="J21" s="16" t="n"/>
      <c r="K21" s="14" t="n"/>
      <c r="L21" s="14" t="n"/>
      <c r="M21" s="15" t="n"/>
    </row>
    <row r="22">
      <c r="A22" s="12">
        <f>'Como usar'!$B$4+INT((ROW()-2)/6)</f>
        <v/>
      </c>
      <c r="B22" s="13" t="inlineStr">
        <is>
          <t>Almoço</t>
        </is>
      </c>
      <c r="C22" s="14" t="n"/>
      <c r="D22" s="14" t="n"/>
      <c r="E22" s="15" t="n"/>
      <c r="F22" s="14" t="n"/>
      <c r="G22" s="15" t="n"/>
      <c r="H22" s="16" t="n"/>
      <c r="I22" s="16" t="n"/>
      <c r="J22" s="16" t="n"/>
      <c r="K22" s="14" t="n"/>
      <c r="L22" s="14" t="n"/>
      <c r="M22" s="15" t="n"/>
    </row>
    <row r="23">
      <c r="A23" s="12">
        <f>'Como usar'!$B$4+INT((ROW()-2)/6)</f>
        <v/>
      </c>
      <c r="B23" s="13" t="inlineStr">
        <is>
          <t>Café da tarde</t>
        </is>
      </c>
      <c r="C23" s="14" t="n"/>
      <c r="D23" s="14" t="n"/>
      <c r="E23" s="15" t="n"/>
      <c r="F23" s="14" t="n"/>
      <c r="G23" s="15" t="n"/>
      <c r="H23" s="16" t="n"/>
      <c r="I23" s="16" t="n"/>
      <c r="J23" s="16" t="n"/>
      <c r="K23" s="14" t="n"/>
      <c r="L23" s="14" t="n"/>
      <c r="M23" s="15" t="n"/>
    </row>
    <row r="24">
      <c r="A24" s="12">
        <f>'Como usar'!$B$4+INT((ROW()-2)/6)</f>
        <v/>
      </c>
      <c r="B24" s="13" t="inlineStr">
        <is>
          <t>Janta</t>
        </is>
      </c>
      <c r="C24" s="14" t="n"/>
      <c r="D24" s="14" t="n"/>
      <c r="E24" s="15" t="n"/>
      <c r="F24" s="14" t="n"/>
      <c r="G24" s="15" t="n"/>
      <c r="H24" s="16" t="n"/>
      <c r="I24" s="16" t="n"/>
      <c r="J24" s="16" t="n"/>
      <c r="K24" s="14" t="n"/>
      <c r="L24" s="14" t="n"/>
      <c r="M24" s="15" t="n"/>
    </row>
    <row r="25">
      <c r="A25" s="12">
        <f>'Como usar'!$B$4+INT((ROW()-2)/6)</f>
        <v/>
      </c>
      <c r="B25" s="13" t="inlineStr">
        <is>
          <t>Ceia</t>
        </is>
      </c>
      <c r="C25" s="14" t="n"/>
      <c r="D25" s="14" t="n"/>
      <c r="E25" s="15" t="n"/>
      <c r="F25" s="14" t="n"/>
      <c r="G25" s="15" t="n"/>
      <c r="H25" s="16" t="n"/>
      <c r="I25" s="16" t="n"/>
      <c r="J25" s="16" t="n"/>
      <c r="K25" s="14" t="n"/>
      <c r="L25" s="14" t="n"/>
      <c r="M25" s="15" t="n"/>
    </row>
    <row r="26">
      <c r="A26" s="12">
        <f>'Como usar'!$B$4+INT((ROW()-2)/6)</f>
        <v/>
      </c>
      <c r="B26" s="13" t="inlineStr">
        <is>
          <t>Café da manhã</t>
        </is>
      </c>
      <c r="C26" s="14" t="n"/>
      <c r="D26" s="14" t="n"/>
      <c r="E26" s="15" t="n"/>
      <c r="F26" s="14" t="n"/>
      <c r="G26" s="15" t="n"/>
      <c r="H26" s="16" t="n"/>
      <c r="I26" s="16" t="n"/>
      <c r="J26" s="16" t="n"/>
      <c r="K26" s="14" t="n"/>
      <c r="L26" s="14" t="n"/>
      <c r="M26" s="15" t="n"/>
    </row>
    <row r="27">
      <c r="A27" s="12">
        <f>'Como usar'!$B$4+INT((ROW()-2)/6)</f>
        <v/>
      </c>
      <c r="B27" s="13" t="inlineStr">
        <is>
          <t>Lanche</t>
        </is>
      </c>
      <c r="C27" s="14" t="n"/>
      <c r="D27" s="14" t="n"/>
      <c r="E27" s="15" t="n"/>
      <c r="F27" s="14" t="n"/>
      <c r="G27" s="15" t="n"/>
      <c r="H27" s="16" t="n"/>
      <c r="I27" s="16" t="n"/>
      <c r="J27" s="16" t="n"/>
      <c r="K27" s="14" t="n"/>
      <c r="L27" s="14" t="n"/>
      <c r="M27" s="15" t="n"/>
    </row>
    <row r="28">
      <c r="A28" s="12">
        <f>'Como usar'!$B$4+INT((ROW()-2)/6)</f>
        <v/>
      </c>
      <c r="B28" s="13" t="inlineStr">
        <is>
          <t>Almoço</t>
        </is>
      </c>
      <c r="C28" s="14" t="n"/>
      <c r="D28" s="14" t="n"/>
      <c r="E28" s="15" t="n"/>
      <c r="F28" s="14" t="n"/>
      <c r="G28" s="15" t="n"/>
      <c r="H28" s="16" t="n"/>
      <c r="I28" s="16" t="n"/>
      <c r="J28" s="16" t="n"/>
      <c r="K28" s="14" t="n"/>
      <c r="L28" s="14" t="n"/>
      <c r="M28" s="15" t="n"/>
    </row>
    <row r="29">
      <c r="A29" s="12">
        <f>'Como usar'!$B$4+INT((ROW()-2)/6)</f>
        <v/>
      </c>
      <c r="B29" s="13" t="inlineStr">
        <is>
          <t>Café da tarde</t>
        </is>
      </c>
      <c r="C29" s="14" t="n"/>
      <c r="D29" s="14" t="n"/>
      <c r="E29" s="15" t="n"/>
      <c r="F29" s="14" t="n"/>
      <c r="G29" s="15" t="n"/>
      <c r="H29" s="16" t="n"/>
      <c r="I29" s="16" t="n"/>
      <c r="J29" s="16" t="n"/>
      <c r="K29" s="14" t="n"/>
      <c r="L29" s="14" t="n"/>
      <c r="M29" s="15" t="n"/>
    </row>
    <row r="30">
      <c r="A30" s="12">
        <f>'Como usar'!$B$4+INT((ROW()-2)/6)</f>
        <v/>
      </c>
      <c r="B30" s="13" t="inlineStr">
        <is>
          <t>Janta</t>
        </is>
      </c>
      <c r="C30" s="14" t="n"/>
      <c r="D30" s="14" t="n"/>
      <c r="E30" s="15" t="n"/>
      <c r="F30" s="14" t="n"/>
      <c r="G30" s="15" t="n"/>
      <c r="H30" s="16" t="n"/>
      <c r="I30" s="16" t="n"/>
      <c r="J30" s="16" t="n"/>
      <c r="K30" s="14" t="n"/>
      <c r="L30" s="14" t="n"/>
      <c r="M30" s="15" t="n"/>
    </row>
    <row r="31">
      <c r="A31" s="12">
        <f>'Como usar'!$B$4+INT((ROW()-2)/6)</f>
        <v/>
      </c>
      <c r="B31" s="13" t="inlineStr">
        <is>
          <t>Ceia</t>
        </is>
      </c>
      <c r="C31" s="14" t="n"/>
      <c r="D31" s="14" t="n"/>
      <c r="E31" s="15" t="n"/>
      <c r="F31" s="14" t="n"/>
      <c r="G31" s="15" t="n"/>
      <c r="H31" s="16" t="n"/>
      <c r="I31" s="16" t="n"/>
      <c r="J31" s="16" t="n"/>
      <c r="K31" s="14" t="n"/>
      <c r="L31" s="14" t="n"/>
      <c r="M31" s="15" t="n"/>
    </row>
    <row r="32">
      <c r="A32" s="12">
        <f>'Como usar'!$B$4+INT((ROW()-2)/6)</f>
        <v/>
      </c>
      <c r="B32" s="13" t="inlineStr">
        <is>
          <t>Café da manhã</t>
        </is>
      </c>
      <c r="C32" s="14" t="n"/>
      <c r="D32" s="14" t="n"/>
      <c r="E32" s="15" t="n"/>
      <c r="F32" s="14" t="n"/>
      <c r="G32" s="15" t="n"/>
      <c r="H32" s="16" t="n"/>
      <c r="I32" s="16" t="n"/>
      <c r="J32" s="16" t="n"/>
      <c r="K32" s="14" t="n"/>
      <c r="L32" s="14" t="n"/>
      <c r="M32" s="15" t="n"/>
    </row>
    <row r="33">
      <c r="A33" s="12">
        <f>'Como usar'!$B$4+INT((ROW()-2)/6)</f>
        <v/>
      </c>
      <c r="B33" s="13" t="inlineStr">
        <is>
          <t>Lanche</t>
        </is>
      </c>
      <c r="C33" s="14" t="n"/>
      <c r="D33" s="14" t="n"/>
      <c r="E33" s="15" t="n"/>
      <c r="F33" s="14" t="n"/>
      <c r="G33" s="15" t="n"/>
      <c r="H33" s="16" t="n"/>
      <c r="I33" s="16" t="n"/>
      <c r="J33" s="16" t="n"/>
      <c r="K33" s="14" t="n"/>
      <c r="L33" s="14" t="n"/>
      <c r="M33" s="15" t="n"/>
    </row>
    <row r="34">
      <c r="A34" s="12">
        <f>'Como usar'!$B$4+INT((ROW()-2)/6)</f>
        <v/>
      </c>
      <c r="B34" s="13" t="inlineStr">
        <is>
          <t>Almoço</t>
        </is>
      </c>
      <c r="C34" s="14" t="n"/>
      <c r="D34" s="14" t="n"/>
      <c r="E34" s="15" t="n"/>
      <c r="F34" s="14" t="n"/>
      <c r="G34" s="15" t="n"/>
      <c r="H34" s="16" t="n"/>
      <c r="I34" s="16" t="n"/>
      <c r="J34" s="16" t="n"/>
      <c r="K34" s="14" t="n"/>
      <c r="L34" s="14" t="n"/>
      <c r="M34" s="15" t="n"/>
    </row>
    <row r="35">
      <c r="A35" s="12">
        <f>'Como usar'!$B$4+INT((ROW()-2)/6)</f>
        <v/>
      </c>
      <c r="B35" s="13" t="inlineStr">
        <is>
          <t>Café da tarde</t>
        </is>
      </c>
      <c r="C35" s="14" t="n"/>
      <c r="D35" s="14" t="n"/>
      <c r="E35" s="15" t="n"/>
      <c r="F35" s="14" t="n"/>
      <c r="G35" s="15" t="n"/>
      <c r="H35" s="16" t="n"/>
      <c r="I35" s="16" t="n"/>
      <c r="J35" s="16" t="n"/>
      <c r="K35" s="14" t="n"/>
      <c r="L35" s="14" t="n"/>
      <c r="M35" s="15" t="n"/>
    </row>
    <row r="36">
      <c r="A36" s="12">
        <f>'Como usar'!$B$4+INT((ROW()-2)/6)</f>
        <v/>
      </c>
      <c r="B36" s="13" t="inlineStr">
        <is>
          <t>Janta</t>
        </is>
      </c>
      <c r="C36" s="14" t="n"/>
      <c r="D36" s="14" t="n"/>
      <c r="E36" s="15" t="n"/>
      <c r="F36" s="14" t="n"/>
      <c r="G36" s="15" t="n"/>
      <c r="H36" s="16" t="n"/>
      <c r="I36" s="16" t="n"/>
      <c r="J36" s="16" t="n"/>
      <c r="K36" s="14" t="n"/>
      <c r="L36" s="14" t="n"/>
      <c r="M36" s="15" t="n"/>
    </row>
    <row r="37">
      <c r="A37" s="12">
        <f>'Como usar'!$B$4+INT((ROW()-2)/6)</f>
        <v/>
      </c>
      <c r="B37" s="13" t="inlineStr">
        <is>
          <t>Ceia</t>
        </is>
      </c>
      <c r="C37" s="14" t="n"/>
      <c r="D37" s="14" t="n"/>
      <c r="E37" s="15" t="n"/>
      <c r="F37" s="14" t="n"/>
      <c r="G37" s="15" t="n"/>
      <c r="H37" s="16" t="n"/>
      <c r="I37" s="16" t="n"/>
      <c r="J37" s="16" t="n"/>
      <c r="K37" s="14" t="n"/>
      <c r="L37" s="14" t="n"/>
      <c r="M37" s="15" t="n"/>
    </row>
    <row r="38">
      <c r="A38" s="12">
        <f>'Como usar'!$B$4+INT((ROW()-2)/6)</f>
        <v/>
      </c>
      <c r="B38" s="13" t="inlineStr">
        <is>
          <t>Café da manhã</t>
        </is>
      </c>
      <c r="C38" s="14" t="n"/>
      <c r="D38" s="14" t="n"/>
      <c r="E38" s="15" t="n"/>
      <c r="F38" s="14" t="n"/>
      <c r="G38" s="15" t="n"/>
      <c r="H38" s="16" t="n"/>
      <c r="I38" s="16" t="n"/>
      <c r="J38" s="16" t="n"/>
      <c r="K38" s="14" t="n"/>
      <c r="L38" s="14" t="n"/>
      <c r="M38" s="15" t="n"/>
    </row>
    <row r="39">
      <c r="A39" s="12">
        <f>'Como usar'!$B$4+INT((ROW()-2)/6)</f>
        <v/>
      </c>
      <c r="B39" s="13" t="inlineStr">
        <is>
          <t>Lanche</t>
        </is>
      </c>
      <c r="C39" s="14" t="n"/>
      <c r="D39" s="14" t="n"/>
      <c r="E39" s="15" t="n"/>
      <c r="F39" s="14" t="n"/>
      <c r="G39" s="15" t="n"/>
      <c r="H39" s="16" t="n"/>
      <c r="I39" s="16" t="n"/>
      <c r="J39" s="16" t="n"/>
      <c r="K39" s="14" t="n"/>
      <c r="L39" s="14" t="n"/>
      <c r="M39" s="15" t="n"/>
    </row>
    <row r="40">
      <c r="A40" s="12">
        <f>'Como usar'!$B$4+INT((ROW()-2)/6)</f>
        <v/>
      </c>
      <c r="B40" s="13" t="inlineStr">
        <is>
          <t>Almoço</t>
        </is>
      </c>
      <c r="C40" s="14" t="n"/>
      <c r="D40" s="14" t="n"/>
      <c r="E40" s="15" t="n"/>
      <c r="F40" s="14" t="n"/>
      <c r="G40" s="15" t="n"/>
      <c r="H40" s="16" t="n"/>
      <c r="I40" s="16" t="n"/>
      <c r="J40" s="16" t="n"/>
      <c r="K40" s="14" t="n"/>
      <c r="L40" s="14" t="n"/>
      <c r="M40" s="15" t="n"/>
    </row>
    <row r="41">
      <c r="A41" s="12">
        <f>'Como usar'!$B$4+INT((ROW()-2)/6)</f>
        <v/>
      </c>
      <c r="B41" s="13" t="inlineStr">
        <is>
          <t>Café da tarde</t>
        </is>
      </c>
      <c r="C41" s="14" t="n"/>
      <c r="D41" s="14" t="n"/>
      <c r="E41" s="15" t="n"/>
      <c r="F41" s="14" t="n"/>
      <c r="G41" s="15" t="n"/>
      <c r="H41" s="16" t="n"/>
      <c r="I41" s="16" t="n"/>
      <c r="J41" s="16" t="n"/>
      <c r="K41" s="14" t="n"/>
      <c r="L41" s="14" t="n"/>
      <c r="M41" s="15" t="n"/>
    </row>
    <row r="42">
      <c r="A42" s="12">
        <f>'Como usar'!$B$4+INT((ROW()-2)/6)</f>
        <v/>
      </c>
      <c r="B42" s="13" t="inlineStr">
        <is>
          <t>Janta</t>
        </is>
      </c>
      <c r="C42" s="14" t="n"/>
      <c r="D42" s="14" t="n"/>
      <c r="E42" s="15" t="n"/>
      <c r="F42" s="14" t="n"/>
      <c r="G42" s="15" t="n"/>
      <c r="H42" s="16" t="n"/>
      <c r="I42" s="16" t="n"/>
      <c r="J42" s="16" t="n"/>
      <c r="K42" s="14" t="n"/>
      <c r="L42" s="14" t="n"/>
      <c r="M42" s="15" t="n"/>
    </row>
    <row r="43">
      <c r="A43" s="12">
        <f>'Como usar'!$B$4+INT((ROW()-2)/6)</f>
        <v/>
      </c>
      <c r="B43" s="13" t="inlineStr">
        <is>
          <t>Ceia</t>
        </is>
      </c>
      <c r="C43" s="14" t="n"/>
      <c r="D43" s="14" t="n"/>
      <c r="E43" s="15" t="n"/>
      <c r="F43" s="14" t="n"/>
      <c r="G43" s="15" t="n"/>
      <c r="H43" s="16" t="n"/>
      <c r="I43" s="16" t="n"/>
      <c r="J43" s="16" t="n"/>
      <c r="K43" s="14" t="n"/>
      <c r="L43" s="14" t="n"/>
      <c r="M43" s="15" t="n"/>
    </row>
    <row r="44">
      <c r="A44" s="12">
        <f>'Como usar'!$B$4+INT((ROW()-2)/6)</f>
        <v/>
      </c>
      <c r="B44" s="13" t="inlineStr">
        <is>
          <t>Café da manhã</t>
        </is>
      </c>
      <c r="C44" s="14" t="n"/>
      <c r="D44" s="14" t="n"/>
      <c r="E44" s="15" t="n"/>
      <c r="F44" s="14" t="n"/>
      <c r="G44" s="15" t="n"/>
      <c r="H44" s="16" t="n"/>
      <c r="I44" s="16" t="n"/>
      <c r="J44" s="16" t="n"/>
      <c r="K44" s="14" t="n"/>
      <c r="L44" s="14" t="n"/>
      <c r="M44" s="15" t="n"/>
    </row>
    <row r="45">
      <c r="A45" s="12">
        <f>'Como usar'!$B$4+INT((ROW()-2)/6)</f>
        <v/>
      </c>
      <c r="B45" s="13" t="inlineStr">
        <is>
          <t>Lanche</t>
        </is>
      </c>
      <c r="C45" s="14" t="n"/>
      <c r="D45" s="14" t="n"/>
      <c r="E45" s="15" t="n"/>
      <c r="F45" s="14" t="n"/>
      <c r="G45" s="15" t="n"/>
      <c r="H45" s="16" t="n"/>
      <c r="I45" s="16" t="n"/>
      <c r="J45" s="16" t="n"/>
      <c r="K45" s="14" t="n"/>
      <c r="L45" s="14" t="n"/>
      <c r="M45" s="15" t="n"/>
    </row>
    <row r="46">
      <c r="A46" s="12">
        <f>'Como usar'!$B$4+INT((ROW()-2)/6)</f>
        <v/>
      </c>
      <c r="B46" s="13" t="inlineStr">
        <is>
          <t>Almoço</t>
        </is>
      </c>
      <c r="C46" s="14" t="n"/>
      <c r="D46" s="14" t="n"/>
      <c r="E46" s="15" t="n"/>
      <c r="F46" s="14" t="n"/>
      <c r="G46" s="15" t="n"/>
      <c r="H46" s="16" t="n"/>
      <c r="I46" s="16" t="n"/>
      <c r="J46" s="16" t="n"/>
      <c r="K46" s="14" t="n"/>
      <c r="L46" s="14" t="n"/>
      <c r="M46" s="15" t="n"/>
    </row>
    <row r="47">
      <c r="A47" s="12">
        <f>'Como usar'!$B$4+INT((ROW()-2)/6)</f>
        <v/>
      </c>
      <c r="B47" s="13" t="inlineStr">
        <is>
          <t>Café da tarde</t>
        </is>
      </c>
      <c r="C47" s="14" t="n"/>
      <c r="D47" s="14" t="n"/>
      <c r="E47" s="15" t="n"/>
      <c r="F47" s="14" t="n"/>
      <c r="G47" s="15" t="n"/>
      <c r="H47" s="16" t="n"/>
      <c r="I47" s="16" t="n"/>
      <c r="J47" s="16" t="n"/>
      <c r="K47" s="14" t="n"/>
      <c r="L47" s="14" t="n"/>
      <c r="M47" s="15" t="n"/>
    </row>
    <row r="48">
      <c r="A48" s="12">
        <f>'Como usar'!$B$4+INT((ROW()-2)/6)</f>
        <v/>
      </c>
      <c r="B48" s="13" t="inlineStr">
        <is>
          <t>Janta</t>
        </is>
      </c>
      <c r="C48" s="14" t="n"/>
      <c r="D48" s="14" t="n"/>
      <c r="E48" s="15" t="n"/>
      <c r="F48" s="14" t="n"/>
      <c r="G48" s="15" t="n"/>
      <c r="H48" s="16" t="n"/>
      <c r="I48" s="16" t="n"/>
      <c r="J48" s="16" t="n"/>
      <c r="K48" s="14" t="n"/>
      <c r="L48" s="14" t="n"/>
      <c r="M48" s="15" t="n"/>
    </row>
    <row r="49">
      <c r="A49" s="12">
        <f>'Como usar'!$B$4+INT((ROW()-2)/6)</f>
        <v/>
      </c>
      <c r="B49" s="13" t="inlineStr">
        <is>
          <t>Ceia</t>
        </is>
      </c>
      <c r="C49" s="14" t="n"/>
      <c r="D49" s="14" t="n"/>
      <c r="E49" s="15" t="n"/>
      <c r="F49" s="14" t="n"/>
      <c r="G49" s="15" t="n"/>
      <c r="H49" s="16" t="n"/>
      <c r="I49" s="16" t="n"/>
      <c r="J49" s="16" t="n"/>
      <c r="K49" s="14" t="n"/>
      <c r="L49" s="14" t="n"/>
      <c r="M49" s="15" t="n"/>
    </row>
    <row r="50">
      <c r="A50" s="12">
        <f>'Como usar'!$B$4+INT((ROW()-2)/6)</f>
        <v/>
      </c>
      <c r="B50" s="13" t="inlineStr">
        <is>
          <t>Café da manhã</t>
        </is>
      </c>
      <c r="C50" s="14" t="n"/>
      <c r="D50" s="14" t="n"/>
      <c r="E50" s="15" t="n"/>
      <c r="F50" s="14" t="n"/>
      <c r="G50" s="15" t="n"/>
      <c r="H50" s="16" t="n"/>
      <c r="I50" s="16" t="n"/>
      <c r="J50" s="16" t="n"/>
      <c r="K50" s="14" t="n"/>
      <c r="L50" s="14" t="n"/>
      <c r="M50" s="15" t="n"/>
    </row>
    <row r="51">
      <c r="A51" s="12">
        <f>'Como usar'!$B$4+INT((ROW()-2)/6)</f>
        <v/>
      </c>
      <c r="B51" s="13" t="inlineStr">
        <is>
          <t>Lanche</t>
        </is>
      </c>
      <c r="C51" s="14" t="n"/>
      <c r="D51" s="14" t="n"/>
      <c r="E51" s="15" t="n"/>
      <c r="F51" s="14" t="n"/>
      <c r="G51" s="15" t="n"/>
      <c r="H51" s="16" t="n"/>
      <c r="I51" s="16" t="n"/>
      <c r="J51" s="16" t="n"/>
      <c r="K51" s="14" t="n"/>
      <c r="L51" s="14" t="n"/>
      <c r="M51" s="15" t="n"/>
    </row>
    <row r="52">
      <c r="A52" s="12">
        <f>'Como usar'!$B$4+INT((ROW()-2)/6)</f>
        <v/>
      </c>
      <c r="B52" s="13" t="inlineStr">
        <is>
          <t>Almoço</t>
        </is>
      </c>
      <c r="C52" s="14" t="n"/>
      <c r="D52" s="14" t="n"/>
      <c r="E52" s="15" t="n"/>
      <c r="F52" s="14" t="n"/>
      <c r="G52" s="15" t="n"/>
      <c r="H52" s="16" t="n"/>
      <c r="I52" s="16" t="n"/>
      <c r="J52" s="16" t="n"/>
      <c r="K52" s="14" t="n"/>
      <c r="L52" s="14" t="n"/>
      <c r="M52" s="15" t="n"/>
    </row>
    <row r="53">
      <c r="A53" s="12">
        <f>'Como usar'!$B$4+INT((ROW()-2)/6)</f>
        <v/>
      </c>
      <c r="B53" s="13" t="inlineStr">
        <is>
          <t>Café da tarde</t>
        </is>
      </c>
      <c r="C53" s="14" t="n"/>
      <c r="D53" s="14" t="n"/>
      <c r="E53" s="15" t="n"/>
      <c r="F53" s="14" t="n"/>
      <c r="G53" s="15" t="n"/>
      <c r="H53" s="16" t="n"/>
      <c r="I53" s="16" t="n"/>
      <c r="J53" s="16" t="n"/>
      <c r="K53" s="14" t="n"/>
      <c r="L53" s="14" t="n"/>
      <c r="M53" s="15" t="n"/>
    </row>
    <row r="54">
      <c r="A54" s="12">
        <f>'Como usar'!$B$4+INT((ROW()-2)/6)</f>
        <v/>
      </c>
      <c r="B54" s="13" t="inlineStr">
        <is>
          <t>Janta</t>
        </is>
      </c>
      <c r="C54" s="14" t="n"/>
      <c r="D54" s="14" t="n"/>
      <c r="E54" s="15" t="n"/>
      <c r="F54" s="14" t="n"/>
      <c r="G54" s="15" t="n"/>
      <c r="H54" s="16" t="n"/>
      <c r="I54" s="16" t="n"/>
      <c r="J54" s="16" t="n"/>
      <c r="K54" s="14" t="n"/>
      <c r="L54" s="14" t="n"/>
      <c r="M54" s="15" t="n"/>
    </row>
    <row r="55">
      <c r="A55" s="12">
        <f>'Como usar'!$B$4+INT((ROW()-2)/6)</f>
        <v/>
      </c>
      <c r="B55" s="13" t="inlineStr">
        <is>
          <t>Ceia</t>
        </is>
      </c>
      <c r="C55" s="14" t="n"/>
      <c r="D55" s="14" t="n"/>
      <c r="E55" s="15" t="n"/>
      <c r="F55" s="14" t="n"/>
      <c r="G55" s="15" t="n"/>
      <c r="H55" s="16" t="n"/>
      <c r="I55" s="16" t="n"/>
      <c r="J55" s="16" t="n"/>
      <c r="K55" s="14" t="n"/>
      <c r="L55" s="14" t="n"/>
      <c r="M55" s="15" t="n"/>
    </row>
    <row r="56">
      <c r="A56" s="12">
        <f>'Como usar'!$B$4+INT((ROW()-2)/6)</f>
        <v/>
      </c>
      <c r="B56" s="13" t="inlineStr">
        <is>
          <t>Café da manhã</t>
        </is>
      </c>
      <c r="C56" s="14" t="n"/>
      <c r="D56" s="14" t="n"/>
      <c r="E56" s="15" t="n"/>
      <c r="F56" s="14" t="n"/>
      <c r="G56" s="15" t="n"/>
      <c r="H56" s="16" t="n"/>
      <c r="I56" s="16" t="n"/>
      <c r="J56" s="16" t="n"/>
      <c r="K56" s="14" t="n"/>
      <c r="L56" s="14" t="n"/>
      <c r="M56" s="15" t="n"/>
    </row>
    <row r="57">
      <c r="A57" s="12">
        <f>'Como usar'!$B$4+INT((ROW()-2)/6)</f>
        <v/>
      </c>
      <c r="B57" s="13" t="inlineStr">
        <is>
          <t>Lanche</t>
        </is>
      </c>
      <c r="C57" s="14" t="n"/>
      <c r="D57" s="14" t="n"/>
      <c r="E57" s="15" t="n"/>
      <c r="F57" s="14" t="n"/>
      <c r="G57" s="15" t="n"/>
      <c r="H57" s="16" t="n"/>
      <c r="I57" s="16" t="n"/>
      <c r="J57" s="16" t="n"/>
      <c r="K57" s="14" t="n"/>
      <c r="L57" s="14" t="n"/>
      <c r="M57" s="15" t="n"/>
    </row>
    <row r="58">
      <c r="A58" s="12">
        <f>'Como usar'!$B$4+INT((ROW()-2)/6)</f>
        <v/>
      </c>
      <c r="B58" s="13" t="inlineStr">
        <is>
          <t>Almoço</t>
        </is>
      </c>
      <c r="C58" s="14" t="n"/>
      <c r="D58" s="14" t="n"/>
      <c r="E58" s="15" t="n"/>
      <c r="F58" s="14" t="n"/>
      <c r="G58" s="15" t="n"/>
      <c r="H58" s="16" t="n"/>
      <c r="I58" s="16" t="n"/>
      <c r="J58" s="16" t="n"/>
      <c r="K58" s="14" t="n"/>
      <c r="L58" s="14" t="n"/>
      <c r="M58" s="15" t="n"/>
    </row>
    <row r="59">
      <c r="A59" s="12">
        <f>'Como usar'!$B$4+INT((ROW()-2)/6)</f>
        <v/>
      </c>
      <c r="B59" s="13" t="inlineStr">
        <is>
          <t>Café da tarde</t>
        </is>
      </c>
      <c r="C59" s="14" t="n"/>
      <c r="D59" s="14" t="n"/>
      <c r="E59" s="15" t="n"/>
      <c r="F59" s="14" t="n"/>
      <c r="G59" s="15" t="n"/>
      <c r="H59" s="16" t="n"/>
      <c r="I59" s="16" t="n"/>
      <c r="J59" s="16" t="n"/>
      <c r="K59" s="14" t="n"/>
      <c r="L59" s="14" t="n"/>
      <c r="M59" s="15" t="n"/>
    </row>
    <row r="60">
      <c r="A60" s="12">
        <f>'Como usar'!$B$4+INT((ROW()-2)/6)</f>
        <v/>
      </c>
      <c r="B60" s="13" t="inlineStr">
        <is>
          <t>Janta</t>
        </is>
      </c>
      <c r="C60" s="14" t="n"/>
      <c r="D60" s="14" t="n"/>
      <c r="E60" s="15" t="n"/>
      <c r="F60" s="14" t="n"/>
      <c r="G60" s="15" t="n"/>
      <c r="H60" s="16" t="n"/>
      <c r="I60" s="16" t="n"/>
      <c r="J60" s="16" t="n"/>
      <c r="K60" s="14" t="n"/>
      <c r="L60" s="14" t="n"/>
      <c r="M60" s="15" t="n"/>
    </row>
    <row r="61">
      <c r="A61" s="12">
        <f>'Como usar'!$B$4+INT((ROW()-2)/6)</f>
        <v/>
      </c>
      <c r="B61" s="13" t="inlineStr">
        <is>
          <t>Ceia</t>
        </is>
      </c>
      <c r="C61" s="14" t="n"/>
      <c r="D61" s="14" t="n"/>
      <c r="E61" s="15" t="n"/>
      <c r="F61" s="14" t="n"/>
      <c r="G61" s="15" t="n"/>
      <c r="H61" s="16" t="n"/>
      <c r="I61" s="16" t="n"/>
      <c r="J61" s="16" t="n"/>
      <c r="K61" s="14" t="n"/>
      <c r="L61" s="14" t="n"/>
      <c r="M61" s="15" t="n"/>
    </row>
    <row r="62">
      <c r="A62" s="12">
        <f>'Como usar'!$B$4+INT((ROW()-2)/6)</f>
        <v/>
      </c>
      <c r="B62" s="13" t="inlineStr">
        <is>
          <t>Café da manhã</t>
        </is>
      </c>
      <c r="C62" s="14" t="n"/>
      <c r="D62" s="14" t="n"/>
      <c r="E62" s="15" t="n"/>
      <c r="F62" s="14" t="n"/>
      <c r="G62" s="15" t="n"/>
      <c r="H62" s="16" t="n"/>
      <c r="I62" s="16" t="n"/>
      <c r="J62" s="16" t="n"/>
      <c r="K62" s="14" t="n"/>
      <c r="L62" s="14" t="n"/>
      <c r="M62" s="15" t="n"/>
    </row>
    <row r="63">
      <c r="A63" s="12">
        <f>'Como usar'!$B$4+INT((ROW()-2)/6)</f>
        <v/>
      </c>
      <c r="B63" s="13" t="inlineStr">
        <is>
          <t>Lanche</t>
        </is>
      </c>
      <c r="C63" s="14" t="n"/>
      <c r="D63" s="14" t="n"/>
      <c r="E63" s="15" t="n"/>
      <c r="F63" s="14" t="n"/>
      <c r="G63" s="15" t="n"/>
      <c r="H63" s="16" t="n"/>
      <c r="I63" s="16" t="n"/>
      <c r="J63" s="16" t="n"/>
      <c r="K63" s="14" t="n"/>
      <c r="L63" s="14" t="n"/>
      <c r="M63" s="15" t="n"/>
    </row>
    <row r="64">
      <c r="A64" s="12">
        <f>'Como usar'!$B$4+INT((ROW()-2)/6)</f>
        <v/>
      </c>
      <c r="B64" s="13" t="inlineStr">
        <is>
          <t>Almoço</t>
        </is>
      </c>
      <c r="C64" s="14" t="n"/>
      <c r="D64" s="14" t="n"/>
      <c r="E64" s="15" t="n"/>
      <c r="F64" s="14" t="n"/>
      <c r="G64" s="15" t="n"/>
      <c r="H64" s="16" t="n"/>
      <c r="I64" s="16" t="n"/>
      <c r="J64" s="16" t="n"/>
      <c r="K64" s="14" t="n"/>
      <c r="L64" s="14" t="n"/>
      <c r="M64" s="15" t="n"/>
    </row>
    <row r="65">
      <c r="A65" s="12">
        <f>'Como usar'!$B$4+INT((ROW()-2)/6)</f>
        <v/>
      </c>
      <c r="B65" s="13" t="inlineStr">
        <is>
          <t>Café da tarde</t>
        </is>
      </c>
      <c r="C65" s="14" t="n"/>
      <c r="D65" s="14" t="n"/>
      <c r="E65" s="15" t="n"/>
      <c r="F65" s="14" t="n"/>
      <c r="G65" s="15" t="n"/>
      <c r="H65" s="16" t="n"/>
      <c r="I65" s="16" t="n"/>
      <c r="J65" s="16" t="n"/>
      <c r="K65" s="14" t="n"/>
      <c r="L65" s="14" t="n"/>
      <c r="M65" s="15" t="n"/>
    </row>
    <row r="66">
      <c r="A66" s="12">
        <f>'Como usar'!$B$4+INT((ROW()-2)/6)</f>
        <v/>
      </c>
      <c r="B66" s="13" t="inlineStr">
        <is>
          <t>Janta</t>
        </is>
      </c>
      <c r="C66" s="14" t="n"/>
      <c r="D66" s="14" t="n"/>
      <c r="E66" s="15" t="n"/>
      <c r="F66" s="14" t="n"/>
      <c r="G66" s="15" t="n"/>
      <c r="H66" s="16" t="n"/>
      <c r="I66" s="16" t="n"/>
      <c r="J66" s="16" t="n"/>
      <c r="K66" s="14" t="n"/>
      <c r="L66" s="14" t="n"/>
      <c r="M66" s="15" t="n"/>
    </row>
    <row r="67">
      <c r="A67" s="12">
        <f>'Como usar'!$B$4+INT((ROW()-2)/6)</f>
        <v/>
      </c>
      <c r="B67" s="13" t="inlineStr">
        <is>
          <t>Ceia</t>
        </is>
      </c>
      <c r="C67" s="14" t="n"/>
      <c r="D67" s="14" t="n"/>
      <c r="E67" s="15" t="n"/>
      <c r="F67" s="14" t="n"/>
      <c r="G67" s="15" t="n"/>
      <c r="H67" s="16" t="n"/>
      <c r="I67" s="16" t="n"/>
      <c r="J67" s="16" t="n"/>
      <c r="K67" s="14" t="n"/>
      <c r="L67" s="14" t="n"/>
      <c r="M67" s="15" t="n"/>
    </row>
    <row r="68">
      <c r="A68" s="12">
        <f>'Como usar'!$B$4+INT((ROW()-2)/6)</f>
        <v/>
      </c>
      <c r="B68" s="13" t="inlineStr">
        <is>
          <t>Café da manhã</t>
        </is>
      </c>
      <c r="C68" s="14" t="n"/>
      <c r="D68" s="14" t="n"/>
      <c r="E68" s="15" t="n"/>
      <c r="F68" s="14" t="n"/>
      <c r="G68" s="15" t="n"/>
      <c r="H68" s="16" t="n"/>
      <c r="I68" s="16" t="n"/>
      <c r="J68" s="16" t="n"/>
      <c r="K68" s="14" t="n"/>
      <c r="L68" s="14" t="n"/>
      <c r="M68" s="15" t="n"/>
    </row>
    <row r="69">
      <c r="A69" s="12">
        <f>'Como usar'!$B$4+INT((ROW()-2)/6)</f>
        <v/>
      </c>
      <c r="B69" s="13" t="inlineStr">
        <is>
          <t>Lanche</t>
        </is>
      </c>
      <c r="C69" s="14" t="n"/>
      <c r="D69" s="14" t="n"/>
      <c r="E69" s="15" t="n"/>
      <c r="F69" s="14" t="n"/>
      <c r="G69" s="15" t="n"/>
      <c r="H69" s="16" t="n"/>
      <c r="I69" s="16" t="n"/>
      <c r="J69" s="16" t="n"/>
      <c r="K69" s="14" t="n"/>
      <c r="L69" s="14" t="n"/>
      <c r="M69" s="15" t="n"/>
    </row>
    <row r="70">
      <c r="A70" s="12">
        <f>'Como usar'!$B$4+INT((ROW()-2)/6)</f>
        <v/>
      </c>
      <c r="B70" s="13" t="inlineStr">
        <is>
          <t>Almoço</t>
        </is>
      </c>
      <c r="C70" s="14" t="n"/>
      <c r="D70" s="14" t="n"/>
      <c r="E70" s="15" t="n"/>
      <c r="F70" s="14" t="n"/>
      <c r="G70" s="15" t="n"/>
      <c r="H70" s="16" t="n"/>
      <c r="I70" s="16" t="n"/>
      <c r="J70" s="16" t="n"/>
      <c r="K70" s="14" t="n"/>
      <c r="L70" s="14" t="n"/>
      <c r="M70" s="15" t="n"/>
    </row>
    <row r="71">
      <c r="A71" s="12">
        <f>'Como usar'!$B$4+INT((ROW()-2)/6)</f>
        <v/>
      </c>
      <c r="B71" s="13" t="inlineStr">
        <is>
          <t>Café da tarde</t>
        </is>
      </c>
      <c r="C71" s="14" t="n"/>
      <c r="D71" s="14" t="n"/>
      <c r="E71" s="15" t="n"/>
      <c r="F71" s="14" t="n"/>
      <c r="G71" s="15" t="n"/>
      <c r="H71" s="16" t="n"/>
      <c r="I71" s="16" t="n"/>
      <c r="J71" s="16" t="n"/>
      <c r="K71" s="14" t="n"/>
      <c r="L71" s="14" t="n"/>
      <c r="M71" s="15" t="n"/>
    </row>
    <row r="72">
      <c r="A72" s="12">
        <f>'Como usar'!$B$4+INT((ROW()-2)/6)</f>
        <v/>
      </c>
      <c r="B72" s="13" t="inlineStr">
        <is>
          <t>Janta</t>
        </is>
      </c>
      <c r="C72" s="14" t="n"/>
      <c r="D72" s="14" t="n"/>
      <c r="E72" s="15" t="n"/>
      <c r="F72" s="14" t="n"/>
      <c r="G72" s="15" t="n"/>
      <c r="H72" s="16" t="n"/>
      <c r="I72" s="16" t="n"/>
      <c r="J72" s="16" t="n"/>
      <c r="K72" s="14" t="n"/>
      <c r="L72" s="14" t="n"/>
      <c r="M72" s="15" t="n"/>
    </row>
    <row r="73">
      <c r="A73" s="12">
        <f>'Como usar'!$B$4+INT((ROW()-2)/6)</f>
        <v/>
      </c>
      <c r="B73" s="13" t="inlineStr">
        <is>
          <t>Ceia</t>
        </is>
      </c>
      <c r="C73" s="14" t="n"/>
      <c r="D73" s="14" t="n"/>
      <c r="E73" s="15" t="n"/>
      <c r="F73" s="14" t="n"/>
      <c r="G73" s="15" t="n"/>
      <c r="H73" s="16" t="n"/>
      <c r="I73" s="16" t="n"/>
      <c r="J73" s="16" t="n"/>
      <c r="K73" s="14" t="n"/>
      <c r="L73" s="14" t="n"/>
      <c r="M73" s="15" t="n"/>
    </row>
    <row r="74">
      <c r="A74" s="12">
        <f>'Como usar'!$B$4+INT((ROW()-2)/6)</f>
        <v/>
      </c>
      <c r="B74" s="13" t="inlineStr">
        <is>
          <t>Café da manhã</t>
        </is>
      </c>
      <c r="C74" s="14" t="n"/>
      <c r="D74" s="14" t="n"/>
      <c r="E74" s="15" t="n"/>
      <c r="F74" s="14" t="n"/>
      <c r="G74" s="15" t="n"/>
      <c r="H74" s="16" t="n"/>
      <c r="I74" s="16" t="n"/>
      <c r="J74" s="16" t="n"/>
      <c r="K74" s="14" t="n"/>
      <c r="L74" s="14" t="n"/>
      <c r="M74" s="15" t="n"/>
    </row>
    <row r="75">
      <c r="A75" s="12">
        <f>'Como usar'!$B$4+INT((ROW()-2)/6)</f>
        <v/>
      </c>
      <c r="B75" s="13" t="inlineStr">
        <is>
          <t>Lanche</t>
        </is>
      </c>
      <c r="C75" s="14" t="n"/>
      <c r="D75" s="14" t="n"/>
      <c r="E75" s="15" t="n"/>
      <c r="F75" s="14" t="n"/>
      <c r="G75" s="15" t="n"/>
      <c r="H75" s="16" t="n"/>
      <c r="I75" s="16" t="n"/>
      <c r="J75" s="16" t="n"/>
      <c r="K75" s="14" t="n"/>
      <c r="L75" s="14" t="n"/>
      <c r="M75" s="15" t="n"/>
    </row>
    <row r="76">
      <c r="A76" s="12">
        <f>'Como usar'!$B$4+INT((ROW()-2)/6)</f>
        <v/>
      </c>
      <c r="B76" s="13" t="inlineStr">
        <is>
          <t>Almoço</t>
        </is>
      </c>
      <c r="C76" s="14" t="n"/>
      <c r="D76" s="14" t="n"/>
      <c r="E76" s="15" t="n"/>
      <c r="F76" s="14" t="n"/>
      <c r="G76" s="15" t="n"/>
      <c r="H76" s="16" t="n"/>
      <c r="I76" s="16" t="n"/>
      <c r="J76" s="16" t="n"/>
      <c r="K76" s="14" t="n"/>
      <c r="L76" s="14" t="n"/>
      <c r="M76" s="15" t="n"/>
    </row>
    <row r="77">
      <c r="A77" s="12">
        <f>'Como usar'!$B$4+INT((ROW()-2)/6)</f>
        <v/>
      </c>
      <c r="B77" s="13" t="inlineStr">
        <is>
          <t>Café da tarde</t>
        </is>
      </c>
      <c r="C77" s="14" t="n"/>
      <c r="D77" s="14" t="n"/>
      <c r="E77" s="15" t="n"/>
      <c r="F77" s="14" t="n"/>
      <c r="G77" s="15" t="n"/>
      <c r="H77" s="16" t="n"/>
      <c r="I77" s="16" t="n"/>
      <c r="J77" s="16" t="n"/>
      <c r="K77" s="14" t="n"/>
      <c r="L77" s="14" t="n"/>
      <c r="M77" s="15" t="n"/>
    </row>
    <row r="78">
      <c r="A78" s="12">
        <f>'Como usar'!$B$4+INT((ROW()-2)/6)</f>
        <v/>
      </c>
      <c r="B78" s="13" t="inlineStr">
        <is>
          <t>Janta</t>
        </is>
      </c>
      <c r="C78" s="14" t="n"/>
      <c r="D78" s="14" t="n"/>
      <c r="E78" s="15" t="n"/>
      <c r="F78" s="14" t="n"/>
      <c r="G78" s="15" t="n"/>
      <c r="H78" s="16" t="n"/>
      <c r="I78" s="16" t="n"/>
      <c r="J78" s="16" t="n"/>
      <c r="K78" s="14" t="n"/>
      <c r="L78" s="14" t="n"/>
      <c r="M78" s="15" t="n"/>
    </row>
    <row r="79">
      <c r="A79" s="12">
        <f>'Como usar'!$B$4+INT((ROW()-2)/6)</f>
        <v/>
      </c>
      <c r="B79" s="13" t="inlineStr">
        <is>
          <t>Ceia</t>
        </is>
      </c>
      <c r="C79" s="14" t="n"/>
      <c r="D79" s="14" t="n"/>
      <c r="E79" s="15" t="n"/>
      <c r="F79" s="14" t="n"/>
      <c r="G79" s="15" t="n"/>
      <c r="H79" s="16" t="n"/>
      <c r="I79" s="16" t="n"/>
      <c r="J79" s="16" t="n"/>
      <c r="K79" s="14" t="n"/>
      <c r="L79" s="14" t="n"/>
      <c r="M79" s="15" t="n"/>
    </row>
    <row r="80">
      <c r="A80" s="12">
        <f>'Como usar'!$B$4+INT((ROW()-2)/6)</f>
        <v/>
      </c>
      <c r="B80" s="13" t="inlineStr">
        <is>
          <t>Café da manhã</t>
        </is>
      </c>
      <c r="C80" s="14" t="n"/>
      <c r="D80" s="14" t="n"/>
      <c r="E80" s="15" t="n"/>
      <c r="F80" s="14" t="n"/>
      <c r="G80" s="15" t="n"/>
      <c r="H80" s="16" t="n"/>
      <c r="I80" s="16" t="n"/>
      <c r="J80" s="16" t="n"/>
      <c r="K80" s="14" t="n"/>
      <c r="L80" s="14" t="n"/>
      <c r="M80" s="15" t="n"/>
    </row>
    <row r="81">
      <c r="A81" s="12">
        <f>'Como usar'!$B$4+INT((ROW()-2)/6)</f>
        <v/>
      </c>
      <c r="B81" s="13" t="inlineStr">
        <is>
          <t>Lanche</t>
        </is>
      </c>
      <c r="C81" s="14" t="n"/>
      <c r="D81" s="14" t="n"/>
      <c r="E81" s="15" t="n"/>
      <c r="F81" s="14" t="n"/>
      <c r="G81" s="15" t="n"/>
      <c r="H81" s="16" t="n"/>
      <c r="I81" s="16" t="n"/>
      <c r="J81" s="16" t="n"/>
      <c r="K81" s="14" t="n"/>
      <c r="L81" s="14" t="n"/>
      <c r="M81" s="15" t="n"/>
    </row>
    <row r="82">
      <c r="A82" s="12">
        <f>'Como usar'!$B$4+INT((ROW()-2)/6)</f>
        <v/>
      </c>
      <c r="B82" s="13" t="inlineStr">
        <is>
          <t>Almoço</t>
        </is>
      </c>
      <c r="C82" s="14" t="n"/>
      <c r="D82" s="14" t="n"/>
      <c r="E82" s="15" t="n"/>
      <c r="F82" s="14" t="n"/>
      <c r="G82" s="15" t="n"/>
      <c r="H82" s="16" t="n"/>
      <c r="I82" s="16" t="n"/>
      <c r="J82" s="16" t="n"/>
      <c r="K82" s="14" t="n"/>
      <c r="L82" s="14" t="n"/>
      <c r="M82" s="15" t="n"/>
    </row>
    <row r="83">
      <c r="A83" s="12">
        <f>'Como usar'!$B$4+INT((ROW()-2)/6)</f>
        <v/>
      </c>
      <c r="B83" s="13" t="inlineStr">
        <is>
          <t>Café da tarde</t>
        </is>
      </c>
      <c r="C83" s="14" t="n"/>
      <c r="D83" s="14" t="n"/>
      <c r="E83" s="15" t="n"/>
      <c r="F83" s="14" t="n"/>
      <c r="G83" s="15" t="n"/>
      <c r="H83" s="16" t="n"/>
      <c r="I83" s="16" t="n"/>
      <c r="J83" s="16" t="n"/>
      <c r="K83" s="14" t="n"/>
      <c r="L83" s="14" t="n"/>
      <c r="M83" s="15" t="n"/>
    </row>
    <row r="84">
      <c r="A84" s="12">
        <f>'Como usar'!$B$4+INT((ROW()-2)/6)</f>
        <v/>
      </c>
      <c r="B84" s="13" t="inlineStr">
        <is>
          <t>Janta</t>
        </is>
      </c>
      <c r="C84" s="14" t="n"/>
      <c r="D84" s="14" t="n"/>
      <c r="E84" s="15" t="n"/>
      <c r="F84" s="14" t="n"/>
      <c r="G84" s="15" t="n"/>
      <c r="H84" s="16" t="n"/>
      <c r="I84" s="16" t="n"/>
      <c r="J84" s="16" t="n"/>
      <c r="K84" s="14" t="n"/>
      <c r="L84" s="14" t="n"/>
      <c r="M84" s="15" t="n"/>
    </row>
    <row r="85">
      <c r="A85" s="12">
        <f>'Como usar'!$B$4+INT((ROW()-2)/6)</f>
        <v/>
      </c>
      <c r="B85" s="13" t="inlineStr">
        <is>
          <t>Ceia</t>
        </is>
      </c>
      <c r="C85" s="14" t="n"/>
      <c r="D85" s="14" t="n"/>
      <c r="E85" s="15" t="n"/>
      <c r="F85" s="14" t="n"/>
      <c r="G85" s="15" t="n"/>
      <c r="H85" s="16" t="n"/>
      <c r="I85" s="16" t="n"/>
      <c r="J85" s="16" t="n"/>
      <c r="K85" s="14" t="n"/>
      <c r="L85" s="14" t="n"/>
      <c r="M85" s="15" t="n"/>
    </row>
    <row r="86">
      <c r="A86" s="12">
        <f>'Como usar'!$B$4+INT((ROW()-2)/6)</f>
        <v/>
      </c>
      <c r="B86" s="13" t="inlineStr">
        <is>
          <t>Café da manhã</t>
        </is>
      </c>
      <c r="C86" s="14" t="n"/>
      <c r="D86" s="14" t="n"/>
      <c r="E86" s="15" t="n"/>
      <c r="F86" s="14" t="n"/>
      <c r="G86" s="15" t="n"/>
      <c r="H86" s="16" t="n"/>
      <c r="I86" s="16" t="n"/>
      <c r="J86" s="16" t="n"/>
      <c r="K86" s="14" t="n"/>
      <c r="L86" s="14" t="n"/>
      <c r="M86" s="15" t="n"/>
    </row>
    <row r="87">
      <c r="A87" s="12">
        <f>'Como usar'!$B$4+INT((ROW()-2)/6)</f>
        <v/>
      </c>
      <c r="B87" s="13" t="inlineStr">
        <is>
          <t>Lanche</t>
        </is>
      </c>
      <c r="C87" s="14" t="n"/>
      <c r="D87" s="14" t="n"/>
      <c r="E87" s="15" t="n"/>
      <c r="F87" s="14" t="n"/>
      <c r="G87" s="15" t="n"/>
      <c r="H87" s="16" t="n"/>
      <c r="I87" s="16" t="n"/>
      <c r="J87" s="16" t="n"/>
      <c r="K87" s="14" t="n"/>
      <c r="L87" s="14" t="n"/>
      <c r="M87" s="15" t="n"/>
    </row>
    <row r="88">
      <c r="A88" s="12">
        <f>'Como usar'!$B$4+INT((ROW()-2)/6)</f>
        <v/>
      </c>
      <c r="B88" s="13" t="inlineStr">
        <is>
          <t>Almoço</t>
        </is>
      </c>
      <c r="C88" s="14" t="n"/>
      <c r="D88" s="14" t="n"/>
      <c r="E88" s="15" t="n"/>
      <c r="F88" s="14" t="n"/>
      <c r="G88" s="15" t="n"/>
      <c r="H88" s="16" t="n"/>
      <c r="I88" s="16" t="n"/>
      <c r="J88" s="16" t="n"/>
      <c r="K88" s="14" t="n"/>
      <c r="L88" s="14" t="n"/>
      <c r="M88" s="15" t="n"/>
    </row>
    <row r="89">
      <c r="A89" s="12">
        <f>'Como usar'!$B$4+INT((ROW()-2)/6)</f>
        <v/>
      </c>
      <c r="B89" s="13" t="inlineStr">
        <is>
          <t>Café da tarde</t>
        </is>
      </c>
      <c r="C89" s="14" t="n"/>
      <c r="D89" s="14" t="n"/>
      <c r="E89" s="15" t="n"/>
      <c r="F89" s="14" t="n"/>
      <c r="G89" s="15" t="n"/>
      <c r="H89" s="16" t="n"/>
      <c r="I89" s="16" t="n"/>
      <c r="J89" s="16" t="n"/>
      <c r="K89" s="14" t="n"/>
      <c r="L89" s="14" t="n"/>
      <c r="M89" s="15" t="n"/>
    </row>
    <row r="90">
      <c r="A90" s="12">
        <f>'Como usar'!$B$4+INT((ROW()-2)/6)</f>
        <v/>
      </c>
      <c r="B90" s="13" t="inlineStr">
        <is>
          <t>Janta</t>
        </is>
      </c>
      <c r="C90" s="14" t="n"/>
      <c r="D90" s="14" t="n"/>
      <c r="E90" s="15" t="n"/>
      <c r="F90" s="14" t="n"/>
      <c r="G90" s="15" t="n"/>
      <c r="H90" s="16" t="n"/>
      <c r="I90" s="16" t="n"/>
      <c r="J90" s="16" t="n"/>
      <c r="K90" s="14" t="n"/>
      <c r="L90" s="14" t="n"/>
      <c r="M90" s="15" t="n"/>
    </row>
    <row r="91">
      <c r="A91" s="12">
        <f>'Como usar'!$B$4+INT((ROW()-2)/6)</f>
        <v/>
      </c>
      <c r="B91" s="13" t="inlineStr">
        <is>
          <t>Ceia</t>
        </is>
      </c>
      <c r="C91" s="14" t="n"/>
      <c r="D91" s="14" t="n"/>
      <c r="E91" s="15" t="n"/>
      <c r="F91" s="14" t="n"/>
      <c r="G91" s="15" t="n"/>
      <c r="H91" s="16" t="n"/>
      <c r="I91" s="16" t="n"/>
      <c r="J91" s="16" t="n"/>
      <c r="K91" s="14" t="n"/>
      <c r="L91" s="14" t="n"/>
      <c r="M91" s="15" t="n"/>
    </row>
    <row r="92">
      <c r="A92" s="12">
        <f>'Como usar'!$B$4+INT((ROW()-2)/6)</f>
        <v/>
      </c>
      <c r="B92" s="13" t="inlineStr">
        <is>
          <t>Café da manhã</t>
        </is>
      </c>
      <c r="C92" s="14" t="n"/>
      <c r="D92" s="14" t="n"/>
      <c r="E92" s="15" t="n"/>
      <c r="F92" s="14" t="n"/>
      <c r="G92" s="15" t="n"/>
      <c r="H92" s="16" t="n"/>
      <c r="I92" s="16" t="n"/>
      <c r="J92" s="16" t="n"/>
      <c r="K92" s="14" t="n"/>
      <c r="L92" s="14" t="n"/>
      <c r="M92" s="15" t="n"/>
    </row>
    <row r="93">
      <c r="A93" s="12">
        <f>'Como usar'!$B$4+INT((ROW()-2)/6)</f>
        <v/>
      </c>
      <c r="B93" s="13" t="inlineStr">
        <is>
          <t>Lanche</t>
        </is>
      </c>
      <c r="C93" s="14" t="n"/>
      <c r="D93" s="14" t="n"/>
      <c r="E93" s="15" t="n"/>
      <c r="F93" s="14" t="n"/>
      <c r="G93" s="15" t="n"/>
      <c r="H93" s="16" t="n"/>
      <c r="I93" s="16" t="n"/>
      <c r="J93" s="16" t="n"/>
      <c r="K93" s="14" t="n"/>
      <c r="L93" s="14" t="n"/>
      <c r="M93" s="15" t="n"/>
    </row>
    <row r="94">
      <c r="A94" s="12">
        <f>'Como usar'!$B$4+INT((ROW()-2)/6)</f>
        <v/>
      </c>
      <c r="B94" s="13" t="inlineStr">
        <is>
          <t>Almoço</t>
        </is>
      </c>
      <c r="C94" s="14" t="n"/>
      <c r="D94" s="14" t="n"/>
      <c r="E94" s="15" t="n"/>
      <c r="F94" s="14" t="n"/>
      <c r="G94" s="15" t="n"/>
      <c r="H94" s="16" t="n"/>
      <c r="I94" s="16" t="n"/>
      <c r="J94" s="16" t="n"/>
      <c r="K94" s="14" t="n"/>
      <c r="L94" s="14" t="n"/>
      <c r="M94" s="15" t="n"/>
    </row>
    <row r="95">
      <c r="A95" s="12">
        <f>'Como usar'!$B$4+INT((ROW()-2)/6)</f>
        <v/>
      </c>
      <c r="B95" s="13" t="inlineStr">
        <is>
          <t>Café da tarde</t>
        </is>
      </c>
      <c r="C95" s="14" t="n"/>
      <c r="D95" s="14" t="n"/>
      <c r="E95" s="15" t="n"/>
      <c r="F95" s="14" t="n"/>
      <c r="G95" s="15" t="n"/>
      <c r="H95" s="16" t="n"/>
      <c r="I95" s="16" t="n"/>
      <c r="J95" s="16" t="n"/>
      <c r="K95" s="14" t="n"/>
      <c r="L95" s="14" t="n"/>
      <c r="M95" s="15" t="n"/>
    </row>
    <row r="96">
      <c r="A96" s="12">
        <f>'Como usar'!$B$4+INT((ROW()-2)/6)</f>
        <v/>
      </c>
      <c r="B96" s="13" t="inlineStr">
        <is>
          <t>Janta</t>
        </is>
      </c>
      <c r="C96" s="14" t="n"/>
      <c r="D96" s="14" t="n"/>
      <c r="E96" s="15" t="n"/>
      <c r="F96" s="14" t="n"/>
      <c r="G96" s="15" t="n"/>
      <c r="H96" s="16" t="n"/>
      <c r="I96" s="16" t="n"/>
      <c r="J96" s="16" t="n"/>
      <c r="K96" s="14" t="n"/>
      <c r="L96" s="14" t="n"/>
      <c r="M96" s="15" t="n"/>
    </row>
    <row r="97">
      <c r="A97" s="12">
        <f>'Como usar'!$B$4+INT((ROW()-2)/6)</f>
        <v/>
      </c>
      <c r="B97" s="13" t="inlineStr">
        <is>
          <t>Ceia</t>
        </is>
      </c>
      <c r="C97" s="14" t="n"/>
      <c r="D97" s="14" t="n"/>
      <c r="E97" s="15" t="n"/>
      <c r="F97" s="14" t="n"/>
      <c r="G97" s="15" t="n"/>
      <c r="H97" s="16" t="n"/>
      <c r="I97" s="16" t="n"/>
      <c r="J97" s="16" t="n"/>
      <c r="K97" s="14" t="n"/>
      <c r="L97" s="14" t="n"/>
      <c r="M97" s="15" t="n"/>
    </row>
    <row r="98">
      <c r="A98" s="12">
        <f>'Como usar'!$B$4+INT((ROW()-2)/6)</f>
        <v/>
      </c>
      <c r="B98" s="13" t="inlineStr">
        <is>
          <t>Café da manhã</t>
        </is>
      </c>
      <c r="C98" s="14" t="n"/>
      <c r="D98" s="14" t="n"/>
      <c r="E98" s="15" t="n"/>
      <c r="F98" s="14" t="n"/>
      <c r="G98" s="15" t="n"/>
      <c r="H98" s="16" t="n"/>
      <c r="I98" s="16" t="n"/>
      <c r="J98" s="16" t="n"/>
      <c r="K98" s="14" t="n"/>
      <c r="L98" s="14" t="n"/>
      <c r="M98" s="15" t="n"/>
    </row>
    <row r="99">
      <c r="A99" s="12">
        <f>'Como usar'!$B$4+INT((ROW()-2)/6)</f>
        <v/>
      </c>
      <c r="B99" s="13" t="inlineStr">
        <is>
          <t>Lanche</t>
        </is>
      </c>
      <c r="C99" s="14" t="n"/>
      <c r="D99" s="14" t="n"/>
      <c r="E99" s="15" t="n"/>
      <c r="F99" s="14" t="n"/>
      <c r="G99" s="15" t="n"/>
      <c r="H99" s="16" t="n"/>
      <c r="I99" s="16" t="n"/>
      <c r="J99" s="16" t="n"/>
      <c r="K99" s="14" t="n"/>
      <c r="L99" s="14" t="n"/>
      <c r="M99" s="15" t="n"/>
    </row>
    <row r="100">
      <c r="A100" s="12">
        <f>'Como usar'!$B$4+INT((ROW()-2)/6)</f>
        <v/>
      </c>
      <c r="B100" s="13" t="inlineStr">
        <is>
          <t>Almoço</t>
        </is>
      </c>
      <c r="C100" s="14" t="n"/>
      <c r="D100" s="14" t="n"/>
      <c r="E100" s="15" t="n"/>
      <c r="F100" s="14" t="n"/>
      <c r="G100" s="15" t="n"/>
      <c r="H100" s="16" t="n"/>
      <c r="I100" s="16" t="n"/>
      <c r="J100" s="16" t="n"/>
      <c r="K100" s="14" t="n"/>
      <c r="L100" s="14" t="n"/>
      <c r="M100" s="15" t="n"/>
    </row>
    <row r="101">
      <c r="A101" s="12">
        <f>'Como usar'!$B$4+INT((ROW()-2)/6)</f>
        <v/>
      </c>
      <c r="B101" s="13" t="inlineStr">
        <is>
          <t>Café da tarde</t>
        </is>
      </c>
      <c r="C101" s="14" t="n"/>
      <c r="D101" s="14" t="n"/>
      <c r="E101" s="15" t="n"/>
      <c r="F101" s="14" t="n"/>
      <c r="G101" s="15" t="n"/>
      <c r="H101" s="16" t="n"/>
      <c r="I101" s="16" t="n"/>
      <c r="J101" s="16" t="n"/>
      <c r="K101" s="14" t="n"/>
      <c r="L101" s="14" t="n"/>
      <c r="M101" s="15" t="n"/>
    </row>
    <row r="102">
      <c r="A102" s="12">
        <f>'Como usar'!$B$4+INT((ROW()-2)/6)</f>
        <v/>
      </c>
      <c r="B102" s="13" t="inlineStr">
        <is>
          <t>Janta</t>
        </is>
      </c>
      <c r="C102" s="14" t="n"/>
      <c r="D102" s="14" t="n"/>
      <c r="E102" s="15" t="n"/>
      <c r="F102" s="14" t="n"/>
      <c r="G102" s="15" t="n"/>
      <c r="H102" s="16" t="n"/>
      <c r="I102" s="16" t="n"/>
      <c r="J102" s="16" t="n"/>
      <c r="K102" s="14" t="n"/>
      <c r="L102" s="14" t="n"/>
      <c r="M102" s="15" t="n"/>
    </row>
    <row r="103">
      <c r="A103" s="12">
        <f>'Como usar'!$B$4+INT((ROW()-2)/6)</f>
        <v/>
      </c>
      <c r="B103" s="13" t="inlineStr">
        <is>
          <t>Ceia</t>
        </is>
      </c>
      <c r="C103" s="14" t="n"/>
      <c r="D103" s="14" t="n"/>
      <c r="E103" s="15" t="n"/>
      <c r="F103" s="14" t="n"/>
      <c r="G103" s="15" t="n"/>
      <c r="H103" s="16" t="n"/>
      <c r="I103" s="16" t="n"/>
      <c r="J103" s="16" t="n"/>
      <c r="K103" s="14" t="n"/>
      <c r="L103" s="14" t="n"/>
      <c r="M103" s="15" t="n"/>
    </row>
    <row r="104">
      <c r="A104" s="12">
        <f>'Como usar'!$B$4+INT((ROW()-2)/6)</f>
        <v/>
      </c>
      <c r="B104" s="13" t="inlineStr">
        <is>
          <t>Café da manhã</t>
        </is>
      </c>
      <c r="C104" s="14" t="n"/>
      <c r="D104" s="14" t="n"/>
      <c r="E104" s="15" t="n"/>
      <c r="F104" s="14" t="n"/>
      <c r="G104" s="15" t="n"/>
      <c r="H104" s="16" t="n"/>
      <c r="I104" s="16" t="n"/>
      <c r="J104" s="16" t="n"/>
      <c r="K104" s="14" t="n"/>
      <c r="L104" s="14" t="n"/>
      <c r="M104" s="15" t="n"/>
    </row>
    <row r="105">
      <c r="A105" s="12">
        <f>'Como usar'!$B$4+INT((ROW()-2)/6)</f>
        <v/>
      </c>
      <c r="B105" s="13" t="inlineStr">
        <is>
          <t>Lanche</t>
        </is>
      </c>
      <c r="C105" s="14" t="n"/>
      <c r="D105" s="14" t="n"/>
      <c r="E105" s="15" t="n"/>
      <c r="F105" s="14" t="n"/>
      <c r="G105" s="15" t="n"/>
      <c r="H105" s="16" t="n"/>
      <c r="I105" s="16" t="n"/>
      <c r="J105" s="16" t="n"/>
      <c r="K105" s="14" t="n"/>
      <c r="L105" s="14" t="n"/>
      <c r="M105" s="15" t="n"/>
    </row>
    <row r="106">
      <c r="A106" s="12">
        <f>'Como usar'!$B$4+INT((ROW()-2)/6)</f>
        <v/>
      </c>
      <c r="B106" s="13" t="inlineStr">
        <is>
          <t>Almoço</t>
        </is>
      </c>
      <c r="C106" s="14" t="n"/>
      <c r="D106" s="14" t="n"/>
      <c r="E106" s="15" t="n"/>
      <c r="F106" s="14" t="n"/>
      <c r="G106" s="15" t="n"/>
      <c r="H106" s="16" t="n"/>
      <c r="I106" s="16" t="n"/>
      <c r="J106" s="16" t="n"/>
      <c r="K106" s="14" t="n"/>
      <c r="L106" s="14" t="n"/>
      <c r="M106" s="15" t="n"/>
    </row>
    <row r="107">
      <c r="A107" s="12">
        <f>'Como usar'!$B$4+INT((ROW()-2)/6)</f>
        <v/>
      </c>
      <c r="B107" s="13" t="inlineStr">
        <is>
          <t>Café da tarde</t>
        </is>
      </c>
      <c r="C107" s="14" t="n"/>
      <c r="D107" s="14" t="n"/>
      <c r="E107" s="15" t="n"/>
      <c r="F107" s="14" t="n"/>
      <c r="G107" s="15" t="n"/>
      <c r="H107" s="16" t="n"/>
      <c r="I107" s="16" t="n"/>
      <c r="J107" s="16" t="n"/>
      <c r="K107" s="14" t="n"/>
      <c r="L107" s="14" t="n"/>
      <c r="M107" s="15" t="n"/>
    </row>
    <row r="108">
      <c r="A108" s="12">
        <f>'Como usar'!$B$4+INT((ROW()-2)/6)</f>
        <v/>
      </c>
      <c r="B108" s="13" t="inlineStr">
        <is>
          <t>Janta</t>
        </is>
      </c>
      <c r="C108" s="14" t="n"/>
      <c r="D108" s="14" t="n"/>
      <c r="E108" s="15" t="n"/>
      <c r="F108" s="14" t="n"/>
      <c r="G108" s="15" t="n"/>
      <c r="H108" s="16" t="n"/>
      <c r="I108" s="16" t="n"/>
      <c r="J108" s="16" t="n"/>
      <c r="K108" s="14" t="n"/>
      <c r="L108" s="14" t="n"/>
      <c r="M108" s="15" t="n"/>
    </row>
    <row r="109">
      <c r="A109" s="12">
        <f>'Como usar'!$B$4+INT((ROW()-2)/6)</f>
        <v/>
      </c>
      <c r="B109" s="13" t="inlineStr">
        <is>
          <t>Ceia</t>
        </is>
      </c>
      <c r="C109" s="14" t="n"/>
      <c r="D109" s="14" t="n"/>
      <c r="E109" s="15" t="n"/>
      <c r="F109" s="14" t="n"/>
      <c r="G109" s="15" t="n"/>
      <c r="H109" s="16" t="n"/>
      <c r="I109" s="16" t="n"/>
      <c r="J109" s="16" t="n"/>
      <c r="K109" s="14" t="n"/>
      <c r="L109" s="14" t="n"/>
      <c r="M109" s="15" t="n"/>
    </row>
    <row r="110">
      <c r="A110" s="12">
        <f>'Como usar'!$B$4+INT((ROW()-2)/6)</f>
        <v/>
      </c>
      <c r="B110" s="13" t="inlineStr">
        <is>
          <t>Café da manhã</t>
        </is>
      </c>
      <c r="C110" s="14" t="n"/>
      <c r="D110" s="14" t="n"/>
      <c r="E110" s="15" t="n"/>
      <c r="F110" s="14" t="n"/>
      <c r="G110" s="15" t="n"/>
      <c r="H110" s="16" t="n"/>
      <c r="I110" s="16" t="n"/>
      <c r="J110" s="16" t="n"/>
      <c r="K110" s="14" t="n"/>
      <c r="L110" s="14" t="n"/>
      <c r="M110" s="15" t="n"/>
    </row>
    <row r="111">
      <c r="A111" s="12">
        <f>'Como usar'!$B$4+INT((ROW()-2)/6)</f>
        <v/>
      </c>
      <c r="B111" s="13" t="inlineStr">
        <is>
          <t>Lanche</t>
        </is>
      </c>
      <c r="C111" s="14" t="n"/>
      <c r="D111" s="14" t="n"/>
      <c r="E111" s="15" t="n"/>
      <c r="F111" s="14" t="n"/>
      <c r="G111" s="15" t="n"/>
      <c r="H111" s="16" t="n"/>
      <c r="I111" s="16" t="n"/>
      <c r="J111" s="16" t="n"/>
      <c r="K111" s="14" t="n"/>
      <c r="L111" s="14" t="n"/>
      <c r="M111" s="15" t="n"/>
    </row>
    <row r="112">
      <c r="A112" s="12">
        <f>'Como usar'!$B$4+INT((ROW()-2)/6)</f>
        <v/>
      </c>
      <c r="B112" s="13" t="inlineStr">
        <is>
          <t>Almoço</t>
        </is>
      </c>
      <c r="C112" s="14" t="n"/>
      <c r="D112" s="14" t="n"/>
      <c r="E112" s="15" t="n"/>
      <c r="F112" s="14" t="n"/>
      <c r="G112" s="15" t="n"/>
      <c r="H112" s="16" t="n"/>
      <c r="I112" s="16" t="n"/>
      <c r="J112" s="16" t="n"/>
      <c r="K112" s="14" t="n"/>
      <c r="L112" s="14" t="n"/>
      <c r="M112" s="15" t="n"/>
    </row>
    <row r="113">
      <c r="A113" s="12">
        <f>'Como usar'!$B$4+INT((ROW()-2)/6)</f>
        <v/>
      </c>
      <c r="B113" s="13" t="inlineStr">
        <is>
          <t>Café da tarde</t>
        </is>
      </c>
      <c r="C113" s="14" t="n"/>
      <c r="D113" s="14" t="n"/>
      <c r="E113" s="15" t="n"/>
      <c r="F113" s="14" t="n"/>
      <c r="G113" s="15" t="n"/>
      <c r="H113" s="16" t="n"/>
      <c r="I113" s="16" t="n"/>
      <c r="J113" s="16" t="n"/>
      <c r="K113" s="14" t="n"/>
      <c r="L113" s="14" t="n"/>
      <c r="M113" s="15" t="n"/>
    </row>
    <row r="114">
      <c r="A114" s="12">
        <f>'Como usar'!$B$4+INT((ROW()-2)/6)</f>
        <v/>
      </c>
      <c r="B114" s="13" t="inlineStr">
        <is>
          <t>Janta</t>
        </is>
      </c>
      <c r="C114" s="14" t="n"/>
      <c r="D114" s="14" t="n"/>
      <c r="E114" s="15" t="n"/>
      <c r="F114" s="14" t="n"/>
      <c r="G114" s="15" t="n"/>
      <c r="H114" s="16" t="n"/>
      <c r="I114" s="16" t="n"/>
      <c r="J114" s="16" t="n"/>
      <c r="K114" s="14" t="n"/>
      <c r="L114" s="14" t="n"/>
      <c r="M114" s="15" t="n"/>
    </row>
    <row r="115">
      <c r="A115" s="12">
        <f>'Como usar'!$B$4+INT((ROW()-2)/6)</f>
        <v/>
      </c>
      <c r="B115" s="13" t="inlineStr">
        <is>
          <t>Ceia</t>
        </is>
      </c>
      <c r="C115" s="14" t="n"/>
      <c r="D115" s="14" t="n"/>
      <c r="E115" s="15" t="n"/>
      <c r="F115" s="14" t="n"/>
      <c r="G115" s="15" t="n"/>
      <c r="H115" s="16" t="n"/>
      <c r="I115" s="16" t="n"/>
      <c r="J115" s="16" t="n"/>
      <c r="K115" s="14" t="n"/>
      <c r="L115" s="14" t="n"/>
      <c r="M115" s="15" t="n"/>
    </row>
    <row r="116">
      <c r="A116" s="12">
        <f>'Como usar'!$B$4+INT((ROW()-2)/6)</f>
        <v/>
      </c>
      <c r="B116" s="13" t="inlineStr">
        <is>
          <t>Café da manhã</t>
        </is>
      </c>
      <c r="C116" s="14" t="n"/>
      <c r="D116" s="14" t="n"/>
      <c r="E116" s="15" t="n"/>
      <c r="F116" s="14" t="n"/>
      <c r="G116" s="15" t="n"/>
      <c r="H116" s="16" t="n"/>
      <c r="I116" s="16" t="n"/>
      <c r="J116" s="16" t="n"/>
      <c r="K116" s="14" t="n"/>
      <c r="L116" s="14" t="n"/>
      <c r="M116" s="15" t="n"/>
    </row>
    <row r="117">
      <c r="A117" s="12">
        <f>'Como usar'!$B$4+INT((ROW()-2)/6)</f>
        <v/>
      </c>
      <c r="B117" s="13" t="inlineStr">
        <is>
          <t>Lanche</t>
        </is>
      </c>
      <c r="C117" s="14" t="n"/>
      <c r="D117" s="14" t="n"/>
      <c r="E117" s="15" t="n"/>
      <c r="F117" s="14" t="n"/>
      <c r="G117" s="15" t="n"/>
      <c r="H117" s="16" t="n"/>
      <c r="I117" s="16" t="n"/>
      <c r="J117" s="16" t="n"/>
      <c r="K117" s="14" t="n"/>
      <c r="L117" s="14" t="n"/>
      <c r="M117" s="15" t="n"/>
    </row>
    <row r="118">
      <c r="A118" s="12">
        <f>'Como usar'!$B$4+INT((ROW()-2)/6)</f>
        <v/>
      </c>
      <c r="B118" s="13" t="inlineStr">
        <is>
          <t>Almoço</t>
        </is>
      </c>
      <c r="C118" s="14" t="n"/>
      <c r="D118" s="14" t="n"/>
      <c r="E118" s="15" t="n"/>
      <c r="F118" s="14" t="n"/>
      <c r="G118" s="15" t="n"/>
      <c r="H118" s="16" t="n"/>
      <c r="I118" s="16" t="n"/>
      <c r="J118" s="16" t="n"/>
      <c r="K118" s="14" t="n"/>
      <c r="L118" s="14" t="n"/>
      <c r="M118" s="15" t="n"/>
    </row>
    <row r="119">
      <c r="A119" s="12">
        <f>'Como usar'!$B$4+INT((ROW()-2)/6)</f>
        <v/>
      </c>
      <c r="B119" s="13" t="inlineStr">
        <is>
          <t>Café da tarde</t>
        </is>
      </c>
      <c r="C119" s="14" t="n"/>
      <c r="D119" s="14" t="n"/>
      <c r="E119" s="15" t="n"/>
      <c r="F119" s="14" t="n"/>
      <c r="G119" s="15" t="n"/>
      <c r="H119" s="16" t="n"/>
      <c r="I119" s="16" t="n"/>
      <c r="J119" s="16" t="n"/>
      <c r="K119" s="14" t="n"/>
      <c r="L119" s="14" t="n"/>
      <c r="M119" s="15" t="n"/>
    </row>
    <row r="120">
      <c r="A120" s="12">
        <f>'Como usar'!$B$4+INT((ROW()-2)/6)</f>
        <v/>
      </c>
      <c r="B120" s="13" t="inlineStr">
        <is>
          <t>Janta</t>
        </is>
      </c>
      <c r="C120" s="14" t="n"/>
      <c r="D120" s="14" t="n"/>
      <c r="E120" s="15" t="n"/>
      <c r="F120" s="14" t="n"/>
      <c r="G120" s="15" t="n"/>
      <c r="H120" s="16" t="n"/>
      <c r="I120" s="16" t="n"/>
      <c r="J120" s="16" t="n"/>
      <c r="K120" s="14" t="n"/>
      <c r="L120" s="14" t="n"/>
      <c r="M120" s="15" t="n"/>
    </row>
    <row r="121">
      <c r="A121" s="12">
        <f>'Como usar'!$B$4+INT((ROW()-2)/6)</f>
        <v/>
      </c>
      <c r="B121" s="13" t="inlineStr">
        <is>
          <t>Ceia</t>
        </is>
      </c>
      <c r="C121" s="14" t="n"/>
      <c r="D121" s="14" t="n"/>
      <c r="E121" s="15" t="n"/>
      <c r="F121" s="14" t="n"/>
      <c r="G121" s="15" t="n"/>
      <c r="H121" s="16" t="n"/>
      <c r="I121" s="16" t="n"/>
      <c r="J121" s="16" t="n"/>
      <c r="K121" s="14" t="n"/>
      <c r="L121" s="14" t="n"/>
      <c r="M121" s="15" t="n"/>
    </row>
    <row r="122">
      <c r="A122" s="12">
        <f>'Como usar'!$B$4+INT((ROW()-2)/6)</f>
        <v/>
      </c>
      <c r="B122" s="13" t="inlineStr">
        <is>
          <t>Café da manhã</t>
        </is>
      </c>
      <c r="C122" s="14" t="n"/>
      <c r="D122" s="14" t="n"/>
      <c r="E122" s="15" t="n"/>
      <c r="F122" s="14" t="n"/>
      <c r="G122" s="15" t="n"/>
      <c r="H122" s="16" t="n"/>
      <c r="I122" s="16" t="n"/>
      <c r="J122" s="16" t="n"/>
      <c r="K122" s="14" t="n"/>
      <c r="L122" s="14" t="n"/>
      <c r="M122" s="15" t="n"/>
    </row>
    <row r="123">
      <c r="A123" s="12">
        <f>'Como usar'!$B$4+INT((ROW()-2)/6)</f>
        <v/>
      </c>
      <c r="B123" s="13" t="inlineStr">
        <is>
          <t>Lanche</t>
        </is>
      </c>
      <c r="C123" s="14" t="n"/>
      <c r="D123" s="14" t="n"/>
      <c r="E123" s="15" t="n"/>
      <c r="F123" s="14" t="n"/>
      <c r="G123" s="15" t="n"/>
      <c r="H123" s="16" t="n"/>
      <c r="I123" s="16" t="n"/>
      <c r="J123" s="16" t="n"/>
      <c r="K123" s="14" t="n"/>
      <c r="L123" s="14" t="n"/>
      <c r="M123" s="15" t="n"/>
    </row>
    <row r="124">
      <c r="A124" s="12">
        <f>'Como usar'!$B$4+INT((ROW()-2)/6)</f>
        <v/>
      </c>
      <c r="B124" s="13" t="inlineStr">
        <is>
          <t>Almoço</t>
        </is>
      </c>
      <c r="C124" s="14" t="n"/>
      <c r="D124" s="14" t="n"/>
      <c r="E124" s="15" t="n"/>
      <c r="F124" s="14" t="n"/>
      <c r="G124" s="15" t="n"/>
      <c r="H124" s="16" t="n"/>
      <c r="I124" s="16" t="n"/>
      <c r="J124" s="16" t="n"/>
      <c r="K124" s="14" t="n"/>
      <c r="L124" s="14" t="n"/>
      <c r="M124" s="15" t="n"/>
    </row>
    <row r="125">
      <c r="A125" s="12">
        <f>'Como usar'!$B$4+INT((ROW()-2)/6)</f>
        <v/>
      </c>
      <c r="B125" s="13" t="inlineStr">
        <is>
          <t>Café da tarde</t>
        </is>
      </c>
      <c r="C125" s="14" t="n"/>
      <c r="D125" s="14" t="n"/>
      <c r="E125" s="15" t="n"/>
      <c r="F125" s="14" t="n"/>
      <c r="G125" s="15" t="n"/>
      <c r="H125" s="16" t="n"/>
      <c r="I125" s="16" t="n"/>
      <c r="J125" s="16" t="n"/>
      <c r="K125" s="14" t="n"/>
      <c r="L125" s="14" t="n"/>
      <c r="M125" s="15" t="n"/>
    </row>
    <row r="126">
      <c r="A126" s="12">
        <f>'Como usar'!$B$4+INT((ROW()-2)/6)</f>
        <v/>
      </c>
      <c r="B126" s="13" t="inlineStr">
        <is>
          <t>Janta</t>
        </is>
      </c>
      <c r="C126" s="14" t="n"/>
      <c r="D126" s="14" t="n"/>
      <c r="E126" s="15" t="n"/>
      <c r="F126" s="14" t="n"/>
      <c r="G126" s="15" t="n"/>
      <c r="H126" s="16" t="n"/>
      <c r="I126" s="16" t="n"/>
      <c r="J126" s="16" t="n"/>
      <c r="K126" s="14" t="n"/>
      <c r="L126" s="14" t="n"/>
      <c r="M126" s="15" t="n"/>
    </row>
    <row r="127">
      <c r="A127" s="12">
        <f>'Como usar'!$B$4+INT((ROW()-2)/6)</f>
        <v/>
      </c>
      <c r="B127" s="13" t="inlineStr">
        <is>
          <t>Ceia</t>
        </is>
      </c>
      <c r="C127" s="14" t="n"/>
      <c r="D127" s="14" t="n"/>
      <c r="E127" s="15" t="n"/>
      <c r="F127" s="14" t="n"/>
      <c r="G127" s="15" t="n"/>
      <c r="H127" s="16" t="n"/>
      <c r="I127" s="16" t="n"/>
      <c r="J127" s="16" t="n"/>
      <c r="K127" s="14" t="n"/>
      <c r="L127" s="14" t="n"/>
      <c r="M127" s="15" t="n"/>
    </row>
    <row r="128">
      <c r="A128" s="12">
        <f>'Como usar'!$B$4+INT((ROW()-2)/6)</f>
        <v/>
      </c>
      <c r="B128" s="13" t="inlineStr">
        <is>
          <t>Café da manhã</t>
        </is>
      </c>
      <c r="C128" s="14" t="n"/>
      <c r="D128" s="14" t="n"/>
      <c r="E128" s="15" t="n"/>
      <c r="F128" s="14" t="n"/>
      <c r="G128" s="15" t="n"/>
      <c r="H128" s="16" t="n"/>
      <c r="I128" s="16" t="n"/>
      <c r="J128" s="16" t="n"/>
      <c r="K128" s="14" t="n"/>
      <c r="L128" s="14" t="n"/>
      <c r="M128" s="15" t="n"/>
    </row>
    <row r="129">
      <c r="A129" s="12">
        <f>'Como usar'!$B$4+INT((ROW()-2)/6)</f>
        <v/>
      </c>
      <c r="B129" s="13" t="inlineStr">
        <is>
          <t>Lanche</t>
        </is>
      </c>
      <c r="C129" s="14" t="n"/>
      <c r="D129" s="14" t="n"/>
      <c r="E129" s="15" t="n"/>
      <c r="F129" s="14" t="n"/>
      <c r="G129" s="15" t="n"/>
      <c r="H129" s="16" t="n"/>
      <c r="I129" s="16" t="n"/>
      <c r="J129" s="16" t="n"/>
      <c r="K129" s="14" t="n"/>
      <c r="L129" s="14" t="n"/>
      <c r="M129" s="15" t="n"/>
    </row>
    <row r="130">
      <c r="A130" s="12">
        <f>'Como usar'!$B$4+INT((ROW()-2)/6)</f>
        <v/>
      </c>
      <c r="B130" s="13" t="inlineStr">
        <is>
          <t>Almoço</t>
        </is>
      </c>
      <c r="C130" s="14" t="n"/>
      <c r="D130" s="14" t="n"/>
      <c r="E130" s="15" t="n"/>
      <c r="F130" s="14" t="n"/>
      <c r="G130" s="15" t="n"/>
      <c r="H130" s="16" t="n"/>
      <c r="I130" s="16" t="n"/>
      <c r="J130" s="16" t="n"/>
      <c r="K130" s="14" t="n"/>
      <c r="L130" s="14" t="n"/>
      <c r="M130" s="15" t="n"/>
    </row>
    <row r="131">
      <c r="A131" s="12">
        <f>'Como usar'!$B$4+INT((ROW()-2)/6)</f>
        <v/>
      </c>
      <c r="B131" s="13" t="inlineStr">
        <is>
          <t>Café da tarde</t>
        </is>
      </c>
      <c r="C131" s="14" t="n"/>
      <c r="D131" s="14" t="n"/>
      <c r="E131" s="15" t="n"/>
      <c r="F131" s="14" t="n"/>
      <c r="G131" s="15" t="n"/>
      <c r="H131" s="16" t="n"/>
      <c r="I131" s="16" t="n"/>
      <c r="J131" s="16" t="n"/>
      <c r="K131" s="14" t="n"/>
      <c r="L131" s="14" t="n"/>
      <c r="M131" s="15" t="n"/>
    </row>
    <row r="132">
      <c r="A132" s="12">
        <f>'Como usar'!$B$4+INT((ROW()-2)/6)</f>
        <v/>
      </c>
      <c r="B132" s="13" t="inlineStr">
        <is>
          <t>Janta</t>
        </is>
      </c>
      <c r="C132" s="14" t="n"/>
      <c r="D132" s="14" t="n"/>
      <c r="E132" s="15" t="n"/>
      <c r="F132" s="14" t="n"/>
      <c r="G132" s="15" t="n"/>
      <c r="H132" s="16" t="n"/>
      <c r="I132" s="16" t="n"/>
      <c r="J132" s="16" t="n"/>
      <c r="K132" s="14" t="n"/>
      <c r="L132" s="14" t="n"/>
      <c r="M132" s="15" t="n"/>
    </row>
    <row r="133">
      <c r="A133" s="12">
        <f>'Como usar'!$B$4+INT((ROW()-2)/6)</f>
        <v/>
      </c>
      <c r="B133" s="13" t="inlineStr">
        <is>
          <t>Ceia</t>
        </is>
      </c>
      <c r="C133" s="14" t="n"/>
      <c r="D133" s="14" t="n"/>
      <c r="E133" s="15" t="n"/>
      <c r="F133" s="14" t="n"/>
      <c r="G133" s="15" t="n"/>
      <c r="H133" s="16" t="n"/>
      <c r="I133" s="16" t="n"/>
      <c r="J133" s="16" t="n"/>
      <c r="K133" s="14" t="n"/>
      <c r="L133" s="14" t="n"/>
      <c r="M133" s="15" t="n"/>
    </row>
    <row r="134">
      <c r="A134" s="12">
        <f>'Como usar'!$B$4+INT((ROW()-2)/6)</f>
        <v/>
      </c>
      <c r="B134" s="13" t="inlineStr">
        <is>
          <t>Café da manhã</t>
        </is>
      </c>
      <c r="C134" s="14" t="n"/>
      <c r="D134" s="14" t="n"/>
      <c r="E134" s="15" t="n"/>
      <c r="F134" s="14" t="n"/>
      <c r="G134" s="15" t="n"/>
      <c r="H134" s="16" t="n"/>
      <c r="I134" s="16" t="n"/>
      <c r="J134" s="16" t="n"/>
      <c r="K134" s="14" t="n"/>
      <c r="L134" s="14" t="n"/>
      <c r="M134" s="15" t="n"/>
    </row>
    <row r="135">
      <c r="A135" s="12">
        <f>'Como usar'!$B$4+INT((ROW()-2)/6)</f>
        <v/>
      </c>
      <c r="B135" s="13" t="inlineStr">
        <is>
          <t>Lanche</t>
        </is>
      </c>
      <c r="C135" s="14" t="n"/>
      <c r="D135" s="14" t="n"/>
      <c r="E135" s="15" t="n"/>
      <c r="F135" s="14" t="n"/>
      <c r="G135" s="15" t="n"/>
      <c r="H135" s="16" t="n"/>
      <c r="I135" s="16" t="n"/>
      <c r="J135" s="16" t="n"/>
      <c r="K135" s="14" t="n"/>
      <c r="L135" s="14" t="n"/>
      <c r="M135" s="15" t="n"/>
    </row>
    <row r="136">
      <c r="A136" s="12">
        <f>'Como usar'!$B$4+INT((ROW()-2)/6)</f>
        <v/>
      </c>
      <c r="B136" s="13" t="inlineStr">
        <is>
          <t>Almoço</t>
        </is>
      </c>
      <c r="C136" s="14" t="n"/>
      <c r="D136" s="14" t="n"/>
      <c r="E136" s="15" t="n"/>
      <c r="F136" s="14" t="n"/>
      <c r="G136" s="15" t="n"/>
      <c r="H136" s="16" t="n"/>
      <c r="I136" s="16" t="n"/>
      <c r="J136" s="16" t="n"/>
      <c r="K136" s="14" t="n"/>
      <c r="L136" s="14" t="n"/>
      <c r="M136" s="15" t="n"/>
    </row>
    <row r="137">
      <c r="A137" s="12">
        <f>'Como usar'!$B$4+INT((ROW()-2)/6)</f>
        <v/>
      </c>
      <c r="B137" s="13" t="inlineStr">
        <is>
          <t>Café da tarde</t>
        </is>
      </c>
      <c r="C137" s="14" t="n"/>
      <c r="D137" s="14" t="n"/>
      <c r="E137" s="15" t="n"/>
      <c r="F137" s="14" t="n"/>
      <c r="G137" s="15" t="n"/>
      <c r="H137" s="16" t="n"/>
      <c r="I137" s="16" t="n"/>
      <c r="J137" s="16" t="n"/>
      <c r="K137" s="14" t="n"/>
      <c r="L137" s="14" t="n"/>
      <c r="M137" s="15" t="n"/>
    </row>
    <row r="138">
      <c r="A138" s="12">
        <f>'Como usar'!$B$4+INT((ROW()-2)/6)</f>
        <v/>
      </c>
      <c r="B138" s="13" t="inlineStr">
        <is>
          <t>Janta</t>
        </is>
      </c>
      <c r="C138" s="14" t="n"/>
      <c r="D138" s="14" t="n"/>
      <c r="E138" s="15" t="n"/>
      <c r="F138" s="14" t="n"/>
      <c r="G138" s="15" t="n"/>
      <c r="H138" s="16" t="n"/>
      <c r="I138" s="16" t="n"/>
      <c r="J138" s="16" t="n"/>
      <c r="K138" s="14" t="n"/>
      <c r="L138" s="14" t="n"/>
      <c r="M138" s="15" t="n"/>
    </row>
    <row r="139">
      <c r="A139" s="12">
        <f>'Como usar'!$B$4+INT((ROW()-2)/6)</f>
        <v/>
      </c>
      <c r="B139" s="13" t="inlineStr">
        <is>
          <t>Ceia</t>
        </is>
      </c>
      <c r="C139" s="14" t="n"/>
      <c r="D139" s="14" t="n"/>
      <c r="E139" s="15" t="n"/>
      <c r="F139" s="14" t="n"/>
      <c r="G139" s="15" t="n"/>
      <c r="H139" s="16" t="n"/>
      <c r="I139" s="16" t="n"/>
      <c r="J139" s="16" t="n"/>
      <c r="K139" s="14" t="n"/>
      <c r="L139" s="14" t="n"/>
      <c r="M139" s="15" t="n"/>
    </row>
    <row r="140">
      <c r="A140" s="12">
        <f>'Como usar'!$B$4+INT((ROW()-2)/6)</f>
        <v/>
      </c>
      <c r="B140" s="13" t="inlineStr">
        <is>
          <t>Café da manhã</t>
        </is>
      </c>
      <c r="C140" s="14" t="n"/>
      <c r="D140" s="14" t="n"/>
      <c r="E140" s="15" t="n"/>
      <c r="F140" s="14" t="n"/>
      <c r="G140" s="15" t="n"/>
      <c r="H140" s="16" t="n"/>
      <c r="I140" s="16" t="n"/>
      <c r="J140" s="16" t="n"/>
      <c r="K140" s="14" t="n"/>
      <c r="L140" s="14" t="n"/>
      <c r="M140" s="15" t="n"/>
    </row>
    <row r="141">
      <c r="A141" s="12">
        <f>'Como usar'!$B$4+INT((ROW()-2)/6)</f>
        <v/>
      </c>
      <c r="B141" s="13" t="inlineStr">
        <is>
          <t>Lanche</t>
        </is>
      </c>
      <c r="C141" s="14" t="n"/>
      <c r="D141" s="14" t="n"/>
      <c r="E141" s="15" t="n"/>
      <c r="F141" s="14" t="n"/>
      <c r="G141" s="15" t="n"/>
      <c r="H141" s="16" t="n"/>
      <c r="I141" s="16" t="n"/>
      <c r="J141" s="16" t="n"/>
      <c r="K141" s="14" t="n"/>
      <c r="L141" s="14" t="n"/>
      <c r="M141" s="15" t="n"/>
    </row>
    <row r="142">
      <c r="A142" s="12">
        <f>'Como usar'!$B$4+INT((ROW()-2)/6)</f>
        <v/>
      </c>
      <c r="B142" s="13" t="inlineStr">
        <is>
          <t>Almoço</t>
        </is>
      </c>
      <c r="C142" s="14" t="n"/>
      <c r="D142" s="14" t="n"/>
      <c r="E142" s="15" t="n"/>
      <c r="F142" s="14" t="n"/>
      <c r="G142" s="15" t="n"/>
      <c r="H142" s="16" t="n"/>
      <c r="I142" s="16" t="n"/>
      <c r="J142" s="16" t="n"/>
      <c r="K142" s="14" t="n"/>
      <c r="L142" s="14" t="n"/>
      <c r="M142" s="15" t="n"/>
    </row>
    <row r="143">
      <c r="A143" s="12">
        <f>'Como usar'!$B$4+INT((ROW()-2)/6)</f>
        <v/>
      </c>
      <c r="B143" s="13" t="inlineStr">
        <is>
          <t>Café da tarde</t>
        </is>
      </c>
      <c r="C143" s="14" t="n"/>
      <c r="D143" s="14" t="n"/>
      <c r="E143" s="15" t="n"/>
      <c r="F143" s="14" t="n"/>
      <c r="G143" s="15" t="n"/>
      <c r="H143" s="16" t="n"/>
      <c r="I143" s="16" t="n"/>
      <c r="J143" s="16" t="n"/>
      <c r="K143" s="14" t="n"/>
      <c r="L143" s="14" t="n"/>
      <c r="M143" s="15" t="n"/>
    </row>
    <row r="144">
      <c r="A144" s="12">
        <f>'Como usar'!$B$4+INT((ROW()-2)/6)</f>
        <v/>
      </c>
      <c r="B144" s="13" t="inlineStr">
        <is>
          <t>Janta</t>
        </is>
      </c>
      <c r="C144" s="14" t="n"/>
      <c r="D144" s="14" t="n"/>
      <c r="E144" s="15" t="n"/>
      <c r="F144" s="14" t="n"/>
      <c r="G144" s="15" t="n"/>
      <c r="H144" s="16" t="n"/>
      <c r="I144" s="16" t="n"/>
      <c r="J144" s="16" t="n"/>
      <c r="K144" s="14" t="n"/>
      <c r="L144" s="14" t="n"/>
      <c r="M144" s="15" t="n"/>
    </row>
    <row r="145">
      <c r="A145" s="12">
        <f>'Como usar'!$B$4+INT((ROW()-2)/6)</f>
        <v/>
      </c>
      <c r="B145" s="13" t="inlineStr">
        <is>
          <t>Ceia</t>
        </is>
      </c>
      <c r="C145" s="14" t="n"/>
      <c r="D145" s="14" t="n"/>
      <c r="E145" s="15" t="n"/>
      <c r="F145" s="14" t="n"/>
      <c r="G145" s="15" t="n"/>
      <c r="H145" s="16" t="n"/>
      <c r="I145" s="16" t="n"/>
      <c r="J145" s="16" t="n"/>
      <c r="K145" s="14" t="n"/>
      <c r="L145" s="14" t="n"/>
      <c r="M145" s="15" t="n"/>
    </row>
    <row r="146">
      <c r="A146" s="12">
        <f>'Como usar'!$B$4+INT((ROW()-2)/6)</f>
        <v/>
      </c>
      <c r="B146" s="13" t="inlineStr">
        <is>
          <t>Café da manhã</t>
        </is>
      </c>
      <c r="C146" s="14" t="n"/>
      <c r="D146" s="14" t="n"/>
      <c r="E146" s="15" t="n"/>
      <c r="F146" s="14" t="n"/>
      <c r="G146" s="15" t="n"/>
      <c r="H146" s="16" t="n"/>
      <c r="I146" s="16" t="n"/>
      <c r="J146" s="16" t="n"/>
      <c r="K146" s="14" t="n"/>
      <c r="L146" s="14" t="n"/>
      <c r="M146" s="15" t="n"/>
    </row>
    <row r="147">
      <c r="A147" s="12">
        <f>'Como usar'!$B$4+INT((ROW()-2)/6)</f>
        <v/>
      </c>
      <c r="B147" s="13" t="inlineStr">
        <is>
          <t>Lanche</t>
        </is>
      </c>
      <c r="C147" s="14" t="n"/>
      <c r="D147" s="14" t="n"/>
      <c r="E147" s="15" t="n"/>
      <c r="F147" s="14" t="n"/>
      <c r="G147" s="15" t="n"/>
      <c r="H147" s="16" t="n"/>
      <c r="I147" s="16" t="n"/>
      <c r="J147" s="16" t="n"/>
      <c r="K147" s="14" t="n"/>
      <c r="L147" s="14" t="n"/>
      <c r="M147" s="15" t="n"/>
    </row>
    <row r="148">
      <c r="A148" s="12">
        <f>'Como usar'!$B$4+INT((ROW()-2)/6)</f>
        <v/>
      </c>
      <c r="B148" s="13" t="inlineStr">
        <is>
          <t>Almoço</t>
        </is>
      </c>
      <c r="C148" s="14" t="n"/>
      <c r="D148" s="14" t="n"/>
      <c r="E148" s="15" t="n"/>
      <c r="F148" s="14" t="n"/>
      <c r="G148" s="15" t="n"/>
      <c r="H148" s="16" t="n"/>
      <c r="I148" s="16" t="n"/>
      <c r="J148" s="16" t="n"/>
      <c r="K148" s="14" t="n"/>
      <c r="L148" s="14" t="n"/>
      <c r="M148" s="15" t="n"/>
    </row>
    <row r="149">
      <c r="A149" s="12">
        <f>'Como usar'!$B$4+INT((ROW()-2)/6)</f>
        <v/>
      </c>
      <c r="B149" s="13" t="inlineStr">
        <is>
          <t>Café da tarde</t>
        </is>
      </c>
      <c r="C149" s="14" t="n"/>
      <c r="D149" s="14" t="n"/>
      <c r="E149" s="15" t="n"/>
      <c r="F149" s="14" t="n"/>
      <c r="G149" s="15" t="n"/>
      <c r="H149" s="16" t="n"/>
      <c r="I149" s="16" t="n"/>
      <c r="J149" s="16" t="n"/>
      <c r="K149" s="14" t="n"/>
      <c r="L149" s="14" t="n"/>
      <c r="M149" s="15" t="n"/>
    </row>
    <row r="150">
      <c r="A150" s="12">
        <f>'Como usar'!$B$4+INT((ROW()-2)/6)</f>
        <v/>
      </c>
      <c r="B150" s="13" t="inlineStr">
        <is>
          <t>Janta</t>
        </is>
      </c>
      <c r="C150" s="14" t="n"/>
      <c r="D150" s="14" t="n"/>
      <c r="E150" s="15" t="n"/>
      <c r="F150" s="14" t="n"/>
      <c r="G150" s="15" t="n"/>
      <c r="H150" s="16" t="n"/>
      <c r="I150" s="16" t="n"/>
      <c r="J150" s="16" t="n"/>
      <c r="K150" s="14" t="n"/>
      <c r="L150" s="14" t="n"/>
      <c r="M150" s="15" t="n"/>
    </row>
    <row r="151">
      <c r="A151" s="12">
        <f>'Como usar'!$B$4+INT((ROW()-2)/6)</f>
        <v/>
      </c>
      <c r="B151" s="13" t="inlineStr">
        <is>
          <t>Ceia</t>
        </is>
      </c>
      <c r="C151" s="14" t="n"/>
      <c r="D151" s="14" t="n"/>
      <c r="E151" s="15" t="n"/>
      <c r="F151" s="14" t="n"/>
      <c r="G151" s="15" t="n"/>
      <c r="H151" s="16" t="n"/>
      <c r="I151" s="16" t="n"/>
      <c r="J151" s="16" t="n"/>
      <c r="K151" s="14" t="n"/>
      <c r="L151" s="14" t="n"/>
      <c r="M151" s="15" t="n"/>
    </row>
    <row r="152">
      <c r="A152" s="12">
        <f>'Como usar'!$B$4+INT((ROW()-2)/6)</f>
        <v/>
      </c>
      <c r="B152" s="13" t="inlineStr">
        <is>
          <t>Café da manhã</t>
        </is>
      </c>
      <c r="C152" s="14" t="n"/>
      <c r="D152" s="14" t="n"/>
      <c r="E152" s="15" t="n"/>
      <c r="F152" s="14" t="n"/>
      <c r="G152" s="15" t="n"/>
      <c r="H152" s="16" t="n"/>
      <c r="I152" s="16" t="n"/>
      <c r="J152" s="16" t="n"/>
      <c r="K152" s="14" t="n"/>
      <c r="L152" s="14" t="n"/>
      <c r="M152" s="15" t="n"/>
    </row>
    <row r="153">
      <c r="A153" s="12">
        <f>'Como usar'!$B$4+INT((ROW()-2)/6)</f>
        <v/>
      </c>
      <c r="B153" s="13" t="inlineStr">
        <is>
          <t>Lanche</t>
        </is>
      </c>
      <c r="C153" s="14" t="n"/>
      <c r="D153" s="14" t="n"/>
      <c r="E153" s="15" t="n"/>
      <c r="F153" s="14" t="n"/>
      <c r="G153" s="15" t="n"/>
      <c r="H153" s="16" t="n"/>
      <c r="I153" s="16" t="n"/>
      <c r="J153" s="16" t="n"/>
      <c r="K153" s="14" t="n"/>
      <c r="L153" s="14" t="n"/>
      <c r="M153" s="15" t="n"/>
    </row>
    <row r="154">
      <c r="A154" s="12">
        <f>'Como usar'!$B$4+INT((ROW()-2)/6)</f>
        <v/>
      </c>
      <c r="B154" s="13" t="inlineStr">
        <is>
          <t>Almoço</t>
        </is>
      </c>
      <c r="C154" s="14" t="n"/>
      <c r="D154" s="14" t="n"/>
      <c r="E154" s="15" t="n"/>
      <c r="F154" s="14" t="n"/>
      <c r="G154" s="15" t="n"/>
      <c r="H154" s="16" t="n"/>
      <c r="I154" s="16" t="n"/>
      <c r="J154" s="16" t="n"/>
      <c r="K154" s="14" t="n"/>
      <c r="L154" s="14" t="n"/>
      <c r="M154" s="15" t="n"/>
    </row>
    <row r="155">
      <c r="A155" s="12">
        <f>'Como usar'!$B$4+INT((ROW()-2)/6)</f>
        <v/>
      </c>
      <c r="B155" s="13" t="inlineStr">
        <is>
          <t>Café da tarde</t>
        </is>
      </c>
      <c r="C155" s="14" t="n"/>
      <c r="D155" s="14" t="n"/>
      <c r="E155" s="15" t="n"/>
      <c r="F155" s="14" t="n"/>
      <c r="G155" s="15" t="n"/>
      <c r="H155" s="16" t="n"/>
      <c r="I155" s="16" t="n"/>
      <c r="J155" s="16" t="n"/>
      <c r="K155" s="14" t="n"/>
      <c r="L155" s="14" t="n"/>
      <c r="M155" s="15" t="n"/>
    </row>
    <row r="156">
      <c r="A156" s="12">
        <f>'Como usar'!$B$4+INT((ROW()-2)/6)</f>
        <v/>
      </c>
      <c r="B156" s="13" t="inlineStr">
        <is>
          <t>Janta</t>
        </is>
      </c>
      <c r="C156" s="14" t="n"/>
      <c r="D156" s="14" t="n"/>
      <c r="E156" s="15" t="n"/>
      <c r="F156" s="14" t="n"/>
      <c r="G156" s="15" t="n"/>
      <c r="H156" s="16" t="n"/>
      <c r="I156" s="16" t="n"/>
      <c r="J156" s="16" t="n"/>
      <c r="K156" s="14" t="n"/>
      <c r="L156" s="14" t="n"/>
      <c r="M156" s="15" t="n"/>
    </row>
    <row r="157">
      <c r="A157" s="12">
        <f>'Como usar'!$B$4+INT((ROW()-2)/6)</f>
        <v/>
      </c>
      <c r="B157" s="13" t="inlineStr">
        <is>
          <t>Ceia</t>
        </is>
      </c>
      <c r="C157" s="14" t="n"/>
      <c r="D157" s="14" t="n"/>
      <c r="E157" s="15" t="n"/>
      <c r="F157" s="14" t="n"/>
      <c r="G157" s="15" t="n"/>
      <c r="H157" s="16" t="n"/>
      <c r="I157" s="16" t="n"/>
      <c r="J157" s="16" t="n"/>
      <c r="K157" s="14" t="n"/>
      <c r="L157" s="14" t="n"/>
      <c r="M157" s="15" t="n"/>
    </row>
    <row r="158">
      <c r="A158" s="12">
        <f>'Como usar'!$B$4+INT((ROW()-2)/6)</f>
        <v/>
      </c>
      <c r="B158" s="13" t="inlineStr">
        <is>
          <t>Café da manhã</t>
        </is>
      </c>
      <c r="C158" s="14" t="n"/>
      <c r="D158" s="14" t="n"/>
      <c r="E158" s="15" t="n"/>
      <c r="F158" s="14" t="n"/>
      <c r="G158" s="15" t="n"/>
      <c r="H158" s="16" t="n"/>
      <c r="I158" s="16" t="n"/>
      <c r="J158" s="16" t="n"/>
      <c r="K158" s="14" t="n"/>
      <c r="L158" s="14" t="n"/>
      <c r="M158" s="15" t="n"/>
    </row>
    <row r="159">
      <c r="A159" s="12">
        <f>'Como usar'!$B$4+INT((ROW()-2)/6)</f>
        <v/>
      </c>
      <c r="B159" s="13" t="inlineStr">
        <is>
          <t>Lanche</t>
        </is>
      </c>
      <c r="C159" s="14" t="n"/>
      <c r="D159" s="14" t="n"/>
      <c r="E159" s="15" t="n"/>
      <c r="F159" s="14" t="n"/>
      <c r="G159" s="15" t="n"/>
      <c r="H159" s="16" t="n"/>
      <c r="I159" s="16" t="n"/>
      <c r="J159" s="16" t="n"/>
      <c r="K159" s="14" t="n"/>
      <c r="L159" s="14" t="n"/>
      <c r="M159" s="15" t="n"/>
    </row>
    <row r="160">
      <c r="A160" s="12">
        <f>'Como usar'!$B$4+INT((ROW()-2)/6)</f>
        <v/>
      </c>
      <c r="B160" s="13" t="inlineStr">
        <is>
          <t>Almoço</t>
        </is>
      </c>
      <c r="C160" s="14" t="n"/>
      <c r="D160" s="14" t="n"/>
      <c r="E160" s="15" t="n"/>
      <c r="F160" s="14" t="n"/>
      <c r="G160" s="15" t="n"/>
      <c r="H160" s="16" t="n"/>
      <c r="I160" s="16" t="n"/>
      <c r="J160" s="16" t="n"/>
      <c r="K160" s="14" t="n"/>
      <c r="L160" s="14" t="n"/>
      <c r="M160" s="15" t="n"/>
    </row>
    <row r="161">
      <c r="A161" s="12">
        <f>'Como usar'!$B$4+INT((ROW()-2)/6)</f>
        <v/>
      </c>
      <c r="B161" s="13" t="inlineStr">
        <is>
          <t>Café da tarde</t>
        </is>
      </c>
      <c r="C161" s="14" t="n"/>
      <c r="D161" s="14" t="n"/>
      <c r="E161" s="15" t="n"/>
      <c r="F161" s="14" t="n"/>
      <c r="G161" s="15" t="n"/>
      <c r="H161" s="16" t="n"/>
      <c r="I161" s="16" t="n"/>
      <c r="J161" s="16" t="n"/>
      <c r="K161" s="14" t="n"/>
      <c r="L161" s="14" t="n"/>
      <c r="M161" s="15" t="n"/>
    </row>
    <row r="162">
      <c r="A162" s="12">
        <f>'Como usar'!$B$4+INT((ROW()-2)/6)</f>
        <v/>
      </c>
      <c r="B162" s="13" t="inlineStr">
        <is>
          <t>Janta</t>
        </is>
      </c>
      <c r="C162" s="14" t="n"/>
      <c r="D162" s="14" t="n"/>
      <c r="E162" s="15" t="n"/>
      <c r="F162" s="14" t="n"/>
      <c r="G162" s="15" t="n"/>
      <c r="H162" s="16" t="n"/>
      <c r="I162" s="16" t="n"/>
      <c r="J162" s="16" t="n"/>
      <c r="K162" s="14" t="n"/>
      <c r="L162" s="14" t="n"/>
      <c r="M162" s="15" t="n"/>
    </row>
    <row r="163">
      <c r="A163" s="12">
        <f>'Como usar'!$B$4+INT((ROW()-2)/6)</f>
        <v/>
      </c>
      <c r="B163" s="13" t="inlineStr">
        <is>
          <t>Ceia</t>
        </is>
      </c>
      <c r="C163" s="14" t="n"/>
      <c r="D163" s="14" t="n"/>
      <c r="E163" s="15" t="n"/>
      <c r="F163" s="14" t="n"/>
      <c r="G163" s="15" t="n"/>
      <c r="H163" s="16" t="n"/>
      <c r="I163" s="16" t="n"/>
      <c r="J163" s="16" t="n"/>
      <c r="K163" s="14" t="n"/>
      <c r="L163" s="14" t="n"/>
      <c r="M163" s="15" t="n"/>
    </row>
    <row r="164">
      <c r="A164" s="12">
        <f>'Como usar'!$B$4+INT((ROW()-2)/6)</f>
        <v/>
      </c>
      <c r="B164" s="13" t="inlineStr">
        <is>
          <t>Café da manhã</t>
        </is>
      </c>
      <c r="C164" s="14" t="n"/>
      <c r="D164" s="14" t="n"/>
      <c r="E164" s="15" t="n"/>
      <c r="F164" s="14" t="n"/>
      <c r="G164" s="15" t="n"/>
      <c r="H164" s="16" t="n"/>
      <c r="I164" s="16" t="n"/>
      <c r="J164" s="16" t="n"/>
      <c r="K164" s="14" t="n"/>
      <c r="L164" s="14" t="n"/>
      <c r="M164" s="15" t="n"/>
    </row>
    <row r="165">
      <c r="A165" s="12">
        <f>'Como usar'!$B$4+INT((ROW()-2)/6)</f>
        <v/>
      </c>
      <c r="B165" s="13" t="inlineStr">
        <is>
          <t>Lanche</t>
        </is>
      </c>
      <c r="C165" s="14" t="n"/>
      <c r="D165" s="14" t="n"/>
      <c r="E165" s="15" t="n"/>
      <c r="F165" s="14" t="n"/>
      <c r="G165" s="15" t="n"/>
      <c r="H165" s="16" t="n"/>
      <c r="I165" s="16" t="n"/>
      <c r="J165" s="16" t="n"/>
      <c r="K165" s="14" t="n"/>
      <c r="L165" s="14" t="n"/>
      <c r="M165" s="15" t="n"/>
    </row>
    <row r="166">
      <c r="A166" s="12">
        <f>'Como usar'!$B$4+INT((ROW()-2)/6)</f>
        <v/>
      </c>
      <c r="B166" s="13" t="inlineStr">
        <is>
          <t>Almoço</t>
        </is>
      </c>
      <c r="C166" s="14" t="n"/>
      <c r="D166" s="14" t="n"/>
      <c r="E166" s="15" t="n"/>
      <c r="F166" s="14" t="n"/>
      <c r="G166" s="15" t="n"/>
      <c r="H166" s="16" t="n"/>
      <c r="I166" s="16" t="n"/>
      <c r="J166" s="16" t="n"/>
      <c r="K166" s="14" t="n"/>
      <c r="L166" s="14" t="n"/>
      <c r="M166" s="15" t="n"/>
    </row>
    <row r="167">
      <c r="A167" s="12">
        <f>'Como usar'!$B$4+INT((ROW()-2)/6)</f>
        <v/>
      </c>
      <c r="B167" s="13" t="inlineStr">
        <is>
          <t>Café da tarde</t>
        </is>
      </c>
      <c r="C167" s="14" t="n"/>
      <c r="D167" s="14" t="n"/>
      <c r="E167" s="15" t="n"/>
      <c r="F167" s="14" t="n"/>
      <c r="G167" s="15" t="n"/>
      <c r="H167" s="16" t="n"/>
      <c r="I167" s="16" t="n"/>
      <c r="J167" s="16" t="n"/>
      <c r="K167" s="14" t="n"/>
      <c r="L167" s="14" t="n"/>
      <c r="M167" s="15" t="n"/>
    </row>
    <row r="168">
      <c r="A168" s="12">
        <f>'Como usar'!$B$4+INT((ROW()-2)/6)</f>
        <v/>
      </c>
      <c r="B168" s="13" t="inlineStr">
        <is>
          <t>Janta</t>
        </is>
      </c>
      <c r="C168" s="14" t="n"/>
      <c r="D168" s="14" t="n"/>
      <c r="E168" s="15" t="n"/>
      <c r="F168" s="14" t="n"/>
      <c r="G168" s="15" t="n"/>
      <c r="H168" s="16" t="n"/>
      <c r="I168" s="16" t="n"/>
      <c r="J168" s="16" t="n"/>
      <c r="K168" s="14" t="n"/>
      <c r="L168" s="14" t="n"/>
      <c r="M168" s="15" t="n"/>
    </row>
    <row r="169">
      <c r="A169" s="12">
        <f>'Como usar'!$B$4+INT((ROW()-2)/6)</f>
        <v/>
      </c>
      <c r="B169" s="13" t="inlineStr">
        <is>
          <t>Ceia</t>
        </is>
      </c>
      <c r="C169" s="14" t="n"/>
      <c r="D169" s="14" t="n"/>
      <c r="E169" s="15" t="n"/>
      <c r="F169" s="14" t="n"/>
      <c r="G169" s="15" t="n"/>
      <c r="H169" s="16" t="n"/>
      <c r="I169" s="16" t="n"/>
      <c r="J169" s="16" t="n"/>
      <c r="K169" s="14" t="n"/>
      <c r="L169" s="14" t="n"/>
      <c r="M169" s="15" t="n"/>
    </row>
    <row r="170">
      <c r="A170" s="12">
        <f>'Como usar'!$B$4+INT((ROW()-2)/6)</f>
        <v/>
      </c>
      <c r="B170" s="13" t="inlineStr">
        <is>
          <t>Café da manhã</t>
        </is>
      </c>
      <c r="C170" s="14" t="n"/>
      <c r="D170" s="14" t="n"/>
      <c r="E170" s="15" t="n"/>
      <c r="F170" s="14" t="n"/>
      <c r="G170" s="15" t="n"/>
      <c r="H170" s="16" t="n"/>
      <c r="I170" s="16" t="n"/>
      <c r="J170" s="16" t="n"/>
      <c r="K170" s="14" t="n"/>
      <c r="L170" s="14" t="n"/>
      <c r="M170" s="15" t="n"/>
    </row>
    <row r="171">
      <c r="A171" s="12">
        <f>'Como usar'!$B$4+INT((ROW()-2)/6)</f>
        <v/>
      </c>
      <c r="B171" s="13" t="inlineStr">
        <is>
          <t>Lanche</t>
        </is>
      </c>
      <c r="C171" s="14" t="n"/>
      <c r="D171" s="14" t="n"/>
      <c r="E171" s="15" t="n"/>
      <c r="F171" s="14" t="n"/>
      <c r="G171" s="15" t="n"/>
      <c r="H171" s="16" t="n"/>
      <c r="I171" s="16" t="n"/>
      <c r="J171" s="16" t="n"/>
      <c r="K171" s="14" t="n"/>
      <c r="L171" s="14" t="n"/>
      <c r="M171" s="15" t="n"/>
    </row>
    <row r="172">
      <c r="A172" s="12">
        <f>'Como usar'!$B$4+INT((ROW()-2)/6)</f>
        <v/>
      </c>
      <c r="B172" s="13" t="inlineStr">
        <is>
          <t>Almoço</t>
        </is>
      </c>
      <c r="C172" s="14" t="n"/>
      <c r="D172" s="14" t="n"/>
      <c r="E172" s="15" t="n"/>
      <c r="F172" s="14" t="n"/>
      <c r="G172" s="15" t="n"/>
      <c r="H172" s="16" t="n"/>
      <c r="I172" s="16" t="n"/>
      <c r="J172" s="16" t="n"/>
      <c r="K172" s="14" t="n"/>
      <c r="L172" s="14" t="n"/>
      <c r="M172" s="15" t="n"/>
    </row>
    <row r="173">
      <c r="A173" s="12">
        <f>'Como usar'!$B$4+INT((ROW()-2)/6)</f>
        <v/>
      </c>
      <c r="B173" s="13" t="inlineStr">
        <is>
          <t>Café da tarde</t>
        </is>
      </c>
      <c r="C173" s="14" t="n"/>
      <c r="D173" s="14" t="n"/>
      <c r="E173" s="15" t="n"/>
      <c r="F173" s="14" t="n"/>
      <c r="G173" s="15" t="n"/>
      <c r="H173" s="16" t="n"/>
      <c r="I173" s="16" t="n"/>
      <c r="J173" s="16" t="n"/>
      <c r="K173" s="14" t="n"/>
      <c r="L173" s="14" t="n"/>
      <c r="M173" s="15" t="n"/>
    </row>
    <row r="174">
      <c r="A174" s="12">
        <f>'Como usar'!$B$4+INT((ROW()-2)/6)</f>
        <v/>
      </c>
      <c r="B174" s="13" t="inlineStr">
        <is>
          <t>Janta</t>
        </is>
      </c>
      <c r="C174" s="14" t="n"/>
      <c r="D174" s="14" t="n"/>
      <c r="E174" s="15" t="n"/>
      <c r="F174" s="14" t="n"/>
      <c r="G174" s="15" t="n"/>
      <c r="H174" s="16" t="n"/>
      <c r="I174" s="16" t="n"/>
      <c r="J174" s="16" t="n"/>
      <c r="K174" s="14" t="n"/>
      <c r="L174" s="14" t="n"/>
      <c r="M174" s="15" t="n"/>
    </row>
    <row r="175">
      <c r="A175" s="12">
        <f>'Como usar'!$B$4+INT((ROW()-2)/6)</f>
        <v/>
      </c>
      <c r="B175" s="13" t="inlineStr">
        <is>
          <t>Ceia</t>
        </is>
      </c>
      <c r="C175" s="14" t="n"/>
      <c r="D175" s="14" t="n"/>
      <c r="E175" s="15" t="n"/>
      <c r="F175" s="14" t="n"/>
      <c r="G175" s="15" t="n"/>
      <c r="H175" s="16" t="n"/>
      <c r="I175" s="16" t="n"/>
      <c r="J175" s="16" t="n"/>
      <c r="K175" s="14" t="n"/>
      <c r="L175" s="14" t="n"/>
      <c r="M175" s="15" t="n"/>
    </row>
    <row r="176">
      <c r="A176" s="12">
        <f>'Como usar'!$B$4+INT((ROW()-2)/6)</f>
        <v/>
      </c>
      <c r="B176" s="13" t="inlineStr">
        <is>
          <t>Café da manhã</t>
        </is>
      </c>
      <c r="C176" s="14" t="n"/>
      <c r="D176" s="14" t="n"/>
      <c r="E176" s="15" t="n"/>
      <c r="F176" s="14" t="n"/>
      <c r="G176" s="15" t="n"/>
      <c r="H176" s="16" t="n"/>
      <c r="I176" s="16" t="n"/>
      <c r="J176" s="16" t="n"/>
      <c r="K176" s="14" t="n"/>
      <c r="L176" s="14" t="n"/>
      <c r="M176" s="15" t="n"/>
    </row>
    <row r="177">
      <c r="A177" s="12">
        <f>'Como usar'!$B$4+INT((ROW()-2)/6)</f>
        <v/>
      </c>
      <c r="B177" s="13" t="inlineStr">
        <is>
          <t>Lanche</t>
        </is>
      </c>
      <c r="C177" s="14" t="n"/>
      <c r="D177" s="14" t="n"/>
      <c r="E177" s="15" t="n"/>
      <c r="F177" s="14" t="n"/>
      <c r="G177" s="15" t="n"/>
      <c r="H177" s="16" t="n"/>
      <c r="I177" s="16" t="n"/>
      <c r="J177" s="16" t="n"/>
      <c r="K177" s="14" t="n"/>
      <c r="L177" s="14" t="n"/>
      <c r="M177" s="15" t="n"/>
    </row>
    <row r="178">
      <c r="A178" s="12">
        <f>'Como usar'!$B$4+INT((ROW()-2)/6)</f>
        <v/>
      </c>
      <c r="B178" s="13" t="inlineStr">
        <is>
          <t>Almoço</t>
        </is>
      </c>
      <c r="C178" s="14" t="n"/>
      <c r="D178" s="14" t="n"/>
      <c r="E178" s="15" t="n"/>
      <c r="F178" s="14" t="n"/>
      <c r="G178" s="15" t="n"/>
      <c r="H178" s="16" t="n"/>
      <c r="I178" s="16" t="n"/>
      <c r="J178" s="16" t="n"/>
      <c r="K178" s="14" t="n"/>
      <c r="L178" s="14" t="n"/>
      <c r="M178" s="15" t="n"/>
    </row>
    <row r="179">
      <c r="A179" s="12">
        <f>'Como usar'!$B$4+INT((ROW()-2)/6)</f>
        <v/>
      </c>
      <c r="B179" s="13" t="inlineStr">
        <is>
          <t>Café da tarde</t>
        </is>
      </c>
      <c r="C179" s="14" t="n"/>
      <c r="D179" s="14" t="n"/>
      <c r="E179" s="15" t="n"/>
      <c r="F179" s="14" t="n"/>
      <c r="G179" s="15" t="n"/>
      <c r="H179" s="16" t="n"/>
      <c r="I179" s="16" t="n"/>
      <c r="J179" s="16" t="n"/>
      <c r="K179" s="14" t="n"/>
      <c r="L179" s="14" t="n"/>
      <c r="M179" s="15" t="n"/>
    </row>
    <row r="180">
      <c r="A180" s="12">
        <f>'Como usar'!$B$4+INT((ROW()-2)/6)</f>
        <v/>
      </c>
      <c r="B180" s="13" t="inlineStr">
        <is>
          <t>Janta</t>
        </is>
      </c>
      <c r="C180" s="14" t="n"/>
      <c r="D180" s="14" t="n"/>
      <c r="E180" s="15" t="n"/>
      <c r="F180" s="14" t="n"/>
      <c r="G180" s="15" t="n"/>
      <c r="H180" s="16" t="n"/>
      <c r="I180" s="16" t="n"/>
      <c r="J180" s="16" t="n"/>
      <c r="K180" s="14" t="n"/>
      <c r="L180" s="14" t="n"/>
      <c r="M180" s="15" t="n"/>
    </row>
    <row r="181">
      <c r="A181" s="12">
        <f>'Como usar'!$B$4+INT((ROW()-2)/6)</f>
        <v/>
      </c>
      <c r="B181" s="13" t="inlineStr">
        <is>
          <t>Ceia</t>
        </is>
      </c>
      <c r="C181" s="14" t="n"/>
      <c r="D181" s="14" t="n"/>
      <c r="E181" s="15" t="n"/>
      <c r="F181" s="14" t="n"/>
      <c r="G181" s="15" t="n"/>
      <c r="H181" s="16" t="n"/>
      <c r="I181" s="16" t="n"/>
      <c r="J181" s="16" t="n"/>
      <c r="K181" s="14" t="n"/>
      <c r="L181" s="14" t="n"/>
      <c r="M181" s="15" t="n"/>
    </row>
    <row r="182">
      <c r="A182" s="12">
        <f>'Como usar'!$B$4+INT((ROW()-2)/6)</f>
        <v/>
      </c>
      <c r="B182" s="13" t="inlineStr">
        <is>
          <t>Café da manhã</t>
        </is>
      </c>
      <c r="C182" s="14" t="n"/>
      <c r="D182" s="14" t="n"/>
      <c r="E182" s="15" t="n"/>
      <c r="F182" s="14" t="n"/>
      <c r="G182" s="15" t="n"/>
      <c r="H182" s="16" t="n"/>
      <c r="I182" s="16" t="n"/>
      <c r="J182" s="16" t="n"/>
      <c r="K182" s="14" t="n"/>
      <c r="L182" s="14" t="n"/>
      <c r="M182" s="15" t="n"/>
    </row>
    <row r="183">
      <c r="A183" s="12">
        <f>'Como usar'!$B$4+INT((ROW()-2)/6)</f>
        <v/>
      </c>
      <c r="B183" s="13" t="inlineStr">
        <is>
          <t>Lanche</t>
        </is>
      </c>
      <c r="C183" s="14" t="n"/>
      <c r="D183" s="14" t="n"/>
      <c r="E183" s="15" t="n"/>
      <c r="F183" s="14" t="n"/>
      <c r="G183" s="15" t="n"/>
      <c r="H183" s="16" t="n"/>
      <c r="I183" s="16" t="n"/>
      <c r="J183" s="16" t="n"/>
      <c r="K183" s="14" t="n"/>
      <c r="L183" s="14" t="n"/>
      <c r="M183" s="15" t="n"/>
    </row>
    <row r="184">
      <c r="A184" s="12">
        <f>'Como usar'!$B$4+INT((ROW()-2)/6)</f>
        <v/>
      </c>
      <c r="B184" s="13" t="inlineStr">
        <is>
          <t>Almoço</t>
        </is>
      </c>
      <c r="C184" s="14" t="n"/>
      <c r="D184" s="14" t="n"/>
      <c r="E184" s="15" t="n"/>
      <c r="F184" s="14" t="n"/>
      <c r="G184" s="15" t="n"/>
      <c r="H184" s="16" t="n"/>
      <c r="I184" s="16" t="n"/>
      <c r="J184" s="16" t="n"/>
      <c r="K184" s="14" t="n"/>
      <c r="L184" s="14" t="n"/>
      <c r="M184" s="15" t="n"/>
    </row>
    <row r="185">
      <c r="A185" s="12">
        <f>'Como usar'!$B$4+INT((ROW()-2)/6)</f>
        <v/>
      </c>
      <c r="B185" s="13" t="inlineStr">
        <is>
          <t>Café da tarde</t>
        </is>
      </c>
      <c r="C185" s="14" t="n"/>
      <c r="D185" s="14" t="n"/>
      <c r="E185" s="15" t="n"/>
      <c r="F185" s="14" t="n"/>
      <c r="G185" s="15" t="n"/>
      <c r="H185" s="16" t="n"/>
      <c r="I185" s="16" t="n"/>
      <c r="J185" s="16" t="n"/>
      <c r="K185" s="14" t="n"/>
      <c r="L185" s="14" t="n"/>
      <c r="M185" s="15" t="n"/>
    </row>
    <row r="186">
      <c r="A186" s="12">
        <f>'Como usar'!$B$4+INT((ROW()-2)/6)</f>
        <v/>
      </c>
      <c r="B186" s="13" t="inlineStr">
        <is>
          <t>Janta</t>
        </is>
      </c>
      <c r="C186" s="14" t="n"/>
      <c r="D186" s="14" t="n"/>
      <c r="E186" s="15" t="n"/>
      <c r="F186" s="14" t="n"/>
      <c r="G186" s="15" t="n"/>
      <c r="H186" s="16" t="n"/>
      <c r="I186" s="16" t="n"/>
      <c r="J186" s="16" t="n"/>
      <c r="K186" s="14" t="n"/>
      <c r="L186" s="14" t="n"/>
      <c r="M186" s="15" t="n"/>
    </row>
    <row r="187">
      <c r="A187" s="12">
        <f>'Como usar'!$B$4+INT((ROW()-2)/6)</f>
        <v/>
      </c>
      <c r="B187" s="13" t="inlineStr">
        <is>
          <t>Ceia</t>
        </is>
      </c>
      <c r="C187" s="14" t="n"/>
      <c r="D187" s="14" t="n"/>
      <c r="E187" s="15" t="n"/>
      <c r="F187" s="14" t="n"/>
      <c r="G187" s="15" t="n"/>
      <c r="H187" s="16" t="n"/>
      <c r="I187" s="16" t="n"/>
      <c r="J187" s="16" t="n"/>
      <c r="K187" s="14" t="n"/>
      <c r="L187" s="14" t="n"/>
      <c r="M187" s="15" t="n"/>
    </row>
    <row r="188">
      <c r="A188" s="12">
        <f>'Como usar'!$B$4+INT((ROW()-2)/6)</f>
        <v/>
      </c>
      <c r="B188" s="13" t="inlineStr">
        <is>
          <t>Café da manhã</t>
        </is>
      </c>
      <c r="C188" s="14" t="n"/>
      <c r="D188" s="14" t="n"/>
      <c r="E188" s="15" t="n"/>
      <c r="F188" s="14" t="n"/>
      <c r="G188" s="15" t="n"/>
      <c r="H188" s="16" t="n"/>
      <c r="I188" s="16" t="n"/>
      <c r="J188" s="16" t="n"/>
      <c r="K188" s="14" t="n"/>
      <c r="L188" s="14" t="n"/>
      <c r="M188" s="15" t="n"/>
    </row>
    <row r="189">
      <c r="A189" s="12">
        <f>'Como usar'!$B$4+INT((ROW()-2)/6)</f>
        <v/>
      </c>
      <c r="B189" s="13" t="inlineStr">
        <is>
          <t>Lanche</t>
        </is>
      </c>
      <c r="C189" s="14" t="n"/>
      <c r="D189" s="14" t="n"/>
      <c r="E189" s="15" t="n"/>
      <c r="F189" s="14" t="n"/>
      <c r="G189" s="15" t="n"/>
      <c r="H189" s="16" t="n"/>
      <c r="I189" s="16" t="n"/>
      <c r="J189" s="16" t="n"/>
      <c r="K189" s="14" t="n"/>
      <c r="L189" s="14" t="n"/>
      <c r="M189" s="15" t="n"/>
    </row>
    <row r="190">
      <c r="A190" s="12">
        <f>'Como usar'!$B$4+INT((ROW()-2)/6)</f>
        <v/>
      </c>
      <c r="B190" s="13" t="inlineStr">
        <is>
          <t>Almoço</t>
        </is>
      </c>
      <c r="C190" s="14" t="n"/>
      <c r="D190" s="14" t="n"/>
      <c r="E190" s="15" t="n"/>
      <c r="F190" s="14" t="n"/>
      <c r="G190" s="15" t="n"/>
      <c r="H190" s="16" t="n"/>
      <c r="I190" s="16" t="n"/>
      <c r="J190" s="16" t="n"/>
      <c r="K190" s="14" t="n"/>
      <c r="L190" s="14" t="n"/>
      <c r="M190" s="15" t="n"/>
    </row>
    <row r="191">
      <c r="A191" s="12">
        <f>'Como usar'!$B$4+INT((ROW()-2)/6)</f>
        <v/>
      </c>
      <c r="B191" s="13" t="inlineStr">
        <is>
          <t>Café da tarde</t>
        </is>
      </c>
      <c r="C191" s="14" t="n"/>
      <c r="D191" s="14" t="n"/>
      <c r="E191" s="15" t="n"/>
      <c r="F191" s="14" t="n"/>
      <c r="G191" s="15" t="n"/>
      <c r="H191" s="16" t="n"/>
      <c r="I191" s="16" t="n"/>
      <c r="J191" s="16" t="n"/>
      <c r="K191" s="14" t="n"/>
      <c r="L191" s="14" t="n"/>
      <c r="M191" s="15" t="n"/>
    </row>
    <row r="192">
      <c r="A192" s="12">
        <f>'Como usar'!$B$4+INT((ROW()-2)/6)</f>
        <v/>
      </c>
      <c r="B192" s="13" t="inlineStr">
        <is>
          <t>Janta</t>
        </is>
      </c>
      <c r="C192" s="14" t="n"/>
      <c r="D192" s="14" t="n"/>
      <c r="E192" s="15" t="n"/>
      <c r="F192" s="14" t="n"/>
      <c r="G192" s="15" t="n"/>
      <c r="H192" s="16" t="n"/>
      <c r="I192" s="16" t="n"/>
      <c r="J192" s="16" t="n"/>
      <c r="K192" s="14" t="n"/>
      <c r="L192" s="14" t="n"/>
      <c r="M192" s="15" t="n"/>
    </row>
    <row r="193">
      <c r="A193" s="12">
        <f>'Como usar'!$B$4+INT((ROW()-2)/6)</f>
        <v/>
      </c>
      <c r="B193" s="13" t="inlineStr">
        <is>
          <t>Ceia</t>
        </is>
      </c>
      <c r="C193" s="14" t="n"/>
      <c r="D193" s="14" t="n"/>
      <c r="E193" s="15" t="n"/>
      <c r="F193" s="14" t="n"/>
      <c r="G193" s="15" t="n"/>
      <c r="H193" s="16" t="n"/>
      <c r="I193" s="16" t="n"/>
      <c r="J193" s="16" t="n"/>
      <c r="K193" s="14" t="n"/>
      <c r="L193" s="14" t="n"/>
      <c r="M193" s="15" t="n"/>
    </row>
    <row r="194">
      <c r="A194" s="12">
        <f>'Como usar'!$B$4+INT((ROW()-2)/6)</f>
        <v/>
      </c>
      <c r="B194" s="13" t="inlineStr">
        <is>
          <t>Café da manhã</t>
        </is>
      </c>
      <c r="C194" s="14" t="n"/>
      <c r="D194" s="14" t="n"/>
      <c r="E194" s="15" t="n"/>
      <c r="F194" s="14" t="n"/>
      <c r="G194" s="15" t="n"/>
      <c r="H194" s="16" t="n"/>
      <c r="I194" s="16" t="n"/>
      <c r="J194" s="16" t="n"/>
      <c r="K194" s="14" t="n"/>
      <c r="L194" s="14" t="n"/>
      <c r="M194" s="15" t="n"/>
    </row>
    <row r="195">
      <c r="A195" s="12">
        <f>'Como usar'!$B$4+INT((ROW()-2)/6)</f>
        <v/>
      </c>
      <c r="B195" s="13" t="inlineStr">
        <is>
          <t>Lanche</t>
        </is>
      </c>
      <c r="C195" s="14" t="n"/>
      <c r="D195" s="14" t="n"/>
      <c r="E195" s="15" t="n"/>
      <c r="F195" s="14" t="n"/>
      <c r="G195" s="15" t="n"/>
      <c r="H195" s="16" t="n"/>
      <c r="I195" s="16" t="n"/>
      <c r="J195" s="16" t="n"/>
      <c r="K195" s="14" t="n"/>
      <c r="L195" s="14" t="n"/>
      <c r="M195" s="15" t="n"/>
    </row>
    <row r="196">
      <c r="A196" s="12">
        <f>'Como usar'!$B$4+INT((ROW()-2)/6)</f>
        <v/>
      </c>
      <c r="B196" s="13" t="inlineStr">
        <is>
          <t>Almoço</t>
        </is>
      </c>
      <c r="C196" s="14" t="n"/>
      <c r="D196" s="14" t="n"/>
      <c r="E196" s="15" t="n"/>
      <c r="F196" s="14" t="n"/>
      <c r="G196" s="15" t="n"/>
      <c r="H196" s="16" t="n"/>
      <c r="I196" s="16" t="n"/>
      <c r="J196" s="16" t="n"/>
      <c r="K196" s="14" t="n"/>
      <c r="L196" s="14" t="n"/>
      <c r="M196" s="15" t="n"/>
    </row>
    <row r="197">
      <c r="A197" s="12">
        <f>'Como usar'!$B$4+INT((ROW()-2)/6)</f>
        <v/>
      </c>
      <c r="B197" s="13" t="inlineStr">
        <is>
          <t>Café da tarde</t>
        </is>
      </c>
      <c r="C197" s="14" t="n"/>
      <c r="D197" s="14" t="n"/>
      <c r="E197" s="15" t="n"/>
      <c r="F197" s="14" t="n"/>
      <c r="G197" s="15" t="n"/>
      <c r="H197" s="16" t="n"/>
      <c r="I197" s="16" t="n"/>
      <c r="J197" s="16" t="n"/>
      <c r="K197" s="14" t="n"/>
      <c r="L197" s="14" t="n"/>
      <c r="M197" s="15" t="n"/>
    </row>
    <row r="198">
      <c r="A198" s="12">
        <f>'Como usar'!$B$4+INT((ROW()-2)/6)</f>
        <v/>
      </c>
      <c r="B198" s="13" t="inlineStr">
        <is>
          <t>Janta</t>
        </is>
      </c>
      <c r="C198" s="14" t="n"/>
      <c r="D198" s="14" t="n"/>
      <c r="E198" s="15" t="n"/>
      <c r="F198" s="14" t="n"/>
      <c r="G198" s="15" t="n"/>
      <c r="H198" s="16" t="n"/>
      <c r="I198" s="16" t="n"/>
      <c r="J198" s="16" t="n"/>
      <c r="K198" s="14" t="n"/>
      <c r="L198" s="14" t="n"/>
      <c r="M198" s="15" t="n"/>
    </row>
    <row r="199">
      <c r="A199" s="12">
        <f>'Como usar'!$B$4+INT((ROW()-2)/6)</f>
        <v/>
      </c>
      <c r="B199" s="13" t="inlineStr">
        <is>
          <t>Ceia</t>
        </is>
      </c>
      <c r="C199" s="14" t="n"/>
      <c r="D199" s="14" t="n"/>
      <c r="E199" s="15" t="n"/>
      <c r="F199" s="14" t="n"/>
      <c r="G199" s="15" t="n"/>
      <c r="H199" s="16" t="n"/>
      <c r="I199" s="16" t="n"/>
      <c r="J199" s="16" t="n"/>
      <c r="K199" s="14" t="n"/>
      <c r="L199" s="14" t="n"/>
      <c r="M199" s="15" t="n"/>
    </row>
    <row r="200">
      <c r="A200" s="12">
        <f>'Como usar'!$B$4+INT((ROW()-2)/6)</f>
        <v/>
      </c>
      <c r="B200" s="13" t="inlineStr">
        <is>
          <t>Café da manhã</t>
        </is>
      </c>
      <c r="C200" s="14" t="n"/>
      <c r="D200" s="14" t="n"/>
      <c r="E200" s="15" t="n"/>
      <c r="F200" s="14" t="n"/>
      <c r="G200" s="15" t="n"/>
      <c r="H200" s="16" t="n"/>
      <c r="I200" s="16" t="n"/>
      <c r="J200" s="16" t="n"/>
      <c r="K200" s="14" t="n"/>
      <c r="L200" s="14" t="n"/>
      <c r="M200" s="15" t="n"/>
    </row>
    <row r="201">
      <c r="A201" s="12">
        <f>'Como usar'!$B$4+INT((ROW()-2)/6)</f>
        <v/>
      </c>
      <c r="B201" s="13" t="inlineStr">
        <is>
          <t>Lanche</t>
        </is>
      </c>
      <c r="C201" s="14" t="n"/>
      <c r="D201" s="14" t="n"/>
      <c r="E201" s="15" t="n"/>
      <c r="F201" s="14" t="n"/>
      <c r="G201" s="15" t="n"/>
      <c r="H201" s="16" t="n"/>
      <c r="I201" s="16" t="n"/>
      <c r="J201" s="16" t="n"/>
      <c r="K201" s="14" t="n"/>
      <c r="L201" s="14" t="n"/>
      <c r="M201" s="15" t="n"/>
    </row>
    <row r="202">
      <c r="A202" s="12">
        <f>'Como usar'!$B$4+INT((ROW()-2)/6)</f>
        <v/>
      </c>
      <c r="B202" s="13" t="inlineStr">
        <is>
          <t>Almoço</t>
        </is>
      </c>
      <c r="C202" s="14" t="n"/>
      <c r="D202" s="14" t="n"/>
      <c r="E202" s="15" t="n"/>
      <c r="F202" s="14" t="n"/>
      <c r="G202" s="15" t="n"/>
      <c r="H202" s="16" t="n"/>
      <c r="I202" s="16" t="n"/>
      <c r="J202" s="16" t="n"/>
      <c r="K202" s="14" t="n"/>
      <c r="L202" s="14" t="n"/>
      <c r="M202" s="15" t="n"/>
    </row>
    <row r="203">
      <c r="A203" s="12">
        <f>'Como usar'!$B$4+INT((ROW()-2)/6)</f>
        <v/>
      </c>
      <c r="B203" s="13" t="inlineStr">
        <is>
          <t>Café da tarde</t>
        </is>
      </c>
      <c r="C203" s="14" t="n"/>
      <c r="D203" s="14" t="n"/>
      <c r="E203" s="15" t="n"/>
      <c r="F203" s="14" t="n"/>
      <c r="G203" s="15" t="n"/>
      <c r="H203" s="16" t="n"/>
      <c r="I203" s="16" t="n"/>
      <c r="J203" s="16" t="n"/>
      <c r="K203" s="14" t="n"/>
      <c r="L203" s="14" t="n"/>
      <c r="M203" s="15" t="n"/>
    </row>
    <row r="204">
      <c r="A204" s="12">
        <f>'Como usar'!$B$4+INT((ROW()-2)/6)</f>
        <v/>
      </c>
      <c r="B204" s="13" t="inlineStr">
        <is>
          <t>Janta</t>
        </is>
      </c>
      <c r="C204" s="14" t="n"/>
      <c r="D204" s="14" t="n"/>
      <c r="E204" s="15" t="n"/>
      <c r="F204" s="14" t="n"/>
      <c r="G204" s="15" t="n"/>
      <c r="H204" s="16" t="n"/>
      <c r="I204" s="16" t="n"/>
      <c r="J204" s="16" t="n"/>
      <c r="K204" s="14" t="n"/>
      <c r="L204" s="14" t="n"/>
      <c r="M204" s="15" t="n"/>
    </row>
    <row r="205">
      <c r="A205" s="12">
        <f>'Como usar'!$B$4+INT((ROW()-2)/6)</f>
        <v/>
      </c>
      <c r="B205" s="13" t="inlineStr">
        <is>
          <t>Ceia</t>
        </is>
      </c>
      <c r="C205" s="14" t="n"/>
      <c r="D205" s="14" t="n"/>
      <c r="E205" s="15" t="n"/>
      <c r="F205" s="14" t="n"/>
      <c r="G205" s="15" t="n"/>
      <c r="H205" s="16" t="n"/>
      <c r="I205" s="16" t="n"/>
      <c r="J205" s="16" t="n"/>
      <c r="K205" s="14" t="n"/>
      <c r="L205" s="14" t="n"/>
      <c r="M205" s="15" t="n"/>
    </row>
    <row r="206">
      <c r="A206" s="12">
        <f>'Como usar'!$B$4+INT((ROW()-2)/6)</f>
        <v/>
      </c>
      <c r="B206" s="13" t="inlineStr">
        <is>
          <t>Café da manhã</t>
        </is>
      </c>
      <c r="C206" s="14" t="n"/>
      <c r="D206" s="14" t="n"/>
      <c r="E206" s="15" t="n"/>
      <c r="F206" s="14" t="n"/>
      <c r="G206" s="15" t="n"/>
      <c r="H206" s="16" t="n"/>
      <c r="I206" s="16" t="n"/>
      <c r="J206" s="16" t="n"/>
      <c r="K206" s="14" t="n"/>
      <c r="L206" s="14" t="n"/>
      <c r="M206" s="15" t="n"/>
    </row>
    <row r="207">
      <c r="A207" s="12">
        <f>'Como usar'!$B$4+INT((ROW()-2)/6)</f>
        <v/>
      </c>
      <c r="B207" s="13" t="inlineStr">
        <is>
          <t>Lanche</t>
        </is>
      </c>
      <c r="C207" s="14" t="n"/>
      <c r="D207" s="14" t="n"/>
      <c r="E207" s="15" t="n"/>
      <c r="F207" s="14" t="n"/>
      <c r="G207" s="15" t="n"/>
      <c r="H207" s="16" t="n"/>
      <c r="I207" s="16" t="n"/>
      <c r="J207" s="16" t="n"/>
      <c r="K207" s="14" t="n"/>
      <c r="L207" s="14" t="n"/>
      <c r="M207" s="15" t="n"/>
    </row>
    <row r="208">
      <c r="A208" s="12">
        <f>'Como usar'!$B$4+INT((ROW()-2)/6)</f>
        <v/>
      </c>
      <c r="B208" s="13" t="inlineStr">
        <is>
          <t>Almoço</t>
        </is>
      </c>
      <c r="C208" s="14" t="n"/>
      <c r="D208" s="14" t="n"/>
      <c r="E208" s="15" t="n"/>
      <c r="F208" s="14" t="n"/>
      <c r="G208" s="15" t="n"/>
      <c r="H208" s="16" t="n"/>
      <c r="I208" s="16" t="n"/>
      <c r="J208" s="16" t="n"/>
      <c r="K208" s="14" t="n"/>
      <c r="L208" s="14" t="n"/>
      <c r="M208" s="15" t="n"/>
    </row>
    <row r="209">
      <c r="A209" s="12">
        <f>'Como usar'!$B$4+INT((ROW()-2)/6)</f>
        <v/>
      </c>
      <c r="B209" s="13" t="inlineStr">
        <is>
          <t>Café da tarde</t>
        </is>
      </c>
      <c r="C209" s="14" t="n"/>
      <c r="D209" s="14" t="n"/>
      <c r="E209" s="15" t="n"/>
      <c r="F209" s="14" t="n"/>
      <c r="G209" s="15" t="n"/>
      <c r="H209" s="16" t="n"/>
      <c r="I209" s="16" t="n"/>
      <c r="J209" s="16" t="n"/>
      <c r="K209" s="14" t="n"/>
      <c r="L209" s="14" t="n"/>
      <c r="M209" s="15" t="n"/>
    </row>
    <row r="210">
      <c r="A210" s="12">
        <f>'Como usar'!$B$4+INT((ROW()-2)/6)</f>
        <v/>
      </c>
      <c r="B210" s="13" t="inlineStr">
        <is>
          <t>Janta</t>
        </is>
      </c>
      <c r="C210" s="14" t="n"/>
      <c r="D210" s="14" t="n"/>
      <c r="E210" s="15" t="n"/>
      <c r="F210" s="14" t="n"/>
      <c r="G210" s="15" t="n"/>
      <c r="H210" s="16" t="n"/>
      <c r="I210" s="16" t="n"/>
      <c r="J210" s="16" t="n"/>
      <c r="K210" s="14" t="n"/>
      <c r="L210" s="14" t="n"/>
      <c r="M210" s="15" t="n"/>
    </row>
    <row r="211">
      <c r="A211" s="12">
        <f>'Como usar'!$B$4+INT((ROW()-2)/6)</f>
        <v/>
      </c>
      <c r="B211" s="13" t="inlineStr">
        <is>
          <t>Ceia</t>
        </is>
      </c>
      <c r="C211" s="14" t="n"/>
      <c r="D211" s="14" t="n"/>
      <c r="E211" s="15" t="n"/>
      <c r="F211" s="14" t="n"/>
      <c r="G211" s="15" t="n"/>
      <c r="H211" s="16" t="n"/>
      <c r="I211" s="16" t="n"/>
      <c r="J211" s="16" t="n"/>
      <c r="K211" s="14" t="n"/>
      <c r="L211" s="14" t="n"/>
      <c r="M211" s="15" t="n"/>
    </row>
    <row r="212">
      <c r="A212" s="12">
        <f>'Como usar'!$B$4+INT((ROW()-2)/6)</f>
        <v/>
      </c>
      <c r="B212" s="13" t="inlineStr">
        <is>
          <t>Café da manhã</t>
        </is>
      </c>
      <c r="C212" s="14" t="n"/>
      <c r="D212" s="14" t="n"/>
      <c r="E212" s="15" t="n"/>
      <c r="F212" s="14" t="n"/>
      <c r="G212" s="15" t="n"/>
      <c r="H212" s="16" t="n"/>
      <c r="I212" s="16" t="n"/>
      <c r="J212" s="16" t="n"/>
      <c r="K212" s="14" t="n"/>
      <c r="L212" s="14" t="n"/>
      <c r="M212" s="15" t="n"/>
    </row>
    <row r="213">
      <c r="A213" s="12">
        <f>'Como usar'!$B$4+INT((ROW()-2)/6)</f>
        <v/>
      </c>
      <c r="B213" s="13" t="inlineStr">
        <is>
          <t>Lanche</t>
        </is>
      </c>
      <c r="C213" s="14" t="n"/>
      <c r="D213" s="14" t="n"/>
      <c r="E213" s="15" t="n"/>
      <c r="F213" s="14" t="n"/>
      <c r="G213" s="15" t="n"/>
      <c r="H213" s="16" t="n"/>
      <c r="I213" s="16" t="n"/>
      <c r="J213" s="16" t="n"/>
      <c r="K213" s="14" t="n"/>
      <c r="L213" s="14" t="n"/>
      <c r="M213" s="15" t="n"/>
    </row>
    <row r="214">
      <c r="A214" s="12">
        <f>'Como usar'!$B$4+INT((ROW()-2)/6)</f>
        <v/>
      </c>
      <c r="B214" s="13" t="inlineStr">
        <is>
          <t>Almoço</t>
        </is>
      </c>
      <c r="C214" s="14" t="n"/>
      <c r="D214" s="14" t="n"/>
      <c r="E214" s="15" t="n"/>
      <c r="F214" s="14" t="n"/>
      <c r="G214" s="15" t="n"/>
      <c r="H214" s="16" t="n"/>
      <c r="I214" s="16" t="n"/>
      <c r="J214" s="16" t="n"/>
      <c r="K214" s="14" t="n"/>
      <c r="L214" s="14" t="n"/>
      <c r="M214" s="15" t="n"/>
    </row>
    <row r="215">
      <c r="A215" s="12">
        <f>'Como usar'!$B$4+INT((ROW()-2)/6)</f>
        <v/>
      </c>
      <c r="B215" s="13" t="inlineStr">
        <is>
          <t>Café da tarde</t>
        </is>
      </c>
      <c r="C215" s="14" t="n"/>
      <c r="D215" s="14" t="n"/>
      <c r="E215" s="15" t="n"/>
      <c r="F215" s="14" t="n"/>
      <c r="G215" s="15" t="n"/>
      <c r="H215" s="16" t="n"/>
      <c r="I215" s="16" t="n"/>
      <c r="J215" s="16" t="n"/>
      <c r="K215" s="14" t="n"/>
      <c r="L215" s="14" t="n"/>
      <c r="M215" s="15" t="n"/>
    </row>
    <row r="216">
      <c r="A216" s="12">
        <f>'Como usar'!$B$4+INT((ROW()-2)/6)</f>
        <v/>
      </c>
      <c r="B216" s="13" t="inlineStr">
        <is>
          <t>Janta</t>
        </is>
      </c>
      <c r="C216" s="14" t="n"/>
      <c r="D216" s="14" t="n"/>
      <c r="E216" s="15" t="n"/>
      <c r="F216" s="14" t="n"/>
      <c r="G216" s="15" t="n"/>
      <c r="H216" s="16" t="n"/>
      <c r="I216" s="16" t="n"/>
      <c r="J216" s="16" t="n"/>
      <c r="K216" s="14" t="n"/>
      <c r="L216" s="14" t="n"/>
      <c r="M216" s="15" t="n"/>
    </row>
    <row r="217">
      <c r="A217" s="12">
        <f>'Como usar'!$B$4+INT((ROW()-2)/6)</f>
        <v/>
      </c>
      <c r="B217" s="13" t="inlineStr">
        <is>
          <t>Ceia</t>
        </is>
      </c>
      <c r="C217" s="14" t="n"/>
      <c r="D217" s="14" t="n"/>
      <c r="E217" s="15" t="n"/>
      <c r="F217" s="14" t="n"/>
      <c r="G217" s="15" t="n"/>
      <c r="H217" s="16" t="n"/>
      <c r="I217" s="16" t="n"/>
      <c r="J217" s="16" t="n"/>
      <c r="K217" s="14" t="n"/>
      <c r="L217" s="14" t="n"/>
      <c r="M217" s="15" t="n"/>
    </row>
    <row r="218">
      <c r="A218" s="12">
        <f>'Como usar'!$B$4+INT((ROW()-2)/6)</f>
        <v/>
      </c>
      <c r="B218" s="13" t="inlineStr">
        <is>
          <t>Café da manhã</t>
        </is>
      </c>
      <c r="C218" s="14" t="n"/>
      <c r="D218" s="14" t="n"/>
      <c r="E218" s="15" t="n"/>
      <c r="F218" s="14" t="n"/>
      <c r="G218" s="15" t="n"/>
      <c r="H218" s="16" t="n"/>
      <c r="I218" s="16" t="n"/>
      <c r="J218" s="16" t="n"/>
      <c r="K218" s="14" t="n"/>
      <c r="L218" s="14" t="n"/>
      <c r="M218" s="15" t="n"/>
    </row>
    <row r="219">
      <c r="A219" s="12">
        <f>'Como usar'!$B$4+INT((ROW()-2)/6)</f>
        <v/>
      </c>
      <c r="B219" s="13" t="inlineStr">
        <is>
          <t>Lanche</t>
        </is>
      </c>
      <c r="C219" s="14" t="n"/>
      <c r="D219" s="14" t="n"/>
      <c r="E219" s="15" t="n"/>
      <c r="F219" s="14" t="n"/>
      <c r="G219" s="15" t="n"/>
      <c r="H219" s="16" t="n"/>
      <c r="I219" s="16" t="n"/>
      <c r="J219" s="16" t="n"/>
      <c r="K219" s="14" t="n"/>
      <c r="L219" s="14" t="n"/>
      <c r="M219" s="15" t="n"/>
    </row>
    <row r="220">
      <c r="A220" s="12">
        <f>'Como usar'!$B$4+INT((ROW()-2)/6)</f>
        <v/>
      </c>
      <c r="B220" s="13" t="inlineStr">
        <is>
          <t>Almoço</t>
        </is>
      </c>
      <c r="C220" s="14" t="n"/>
      <c r="D220" s="14" t="n"/>
      <c r="E220" s="15" t="n"/>
      <c r="F220" s="14" t="n"/>
      <c r="G220" s="15" t="n"/>
      <c r="H220" s="16" t="n"/>
      <c r="I220" s="16" t="n"/>
      <c r="J220" s="16" t="n"/>
      <c r="K220" s="14" t="n"/>
      <c r="L220" s="14" t="n"/>
      <c r="M220" s="15" t="n"/>
    </row>
    <row r="221">
      <c r="A221" s="12">
        <f>'Como usar'!$B$4+INT((ROW()-2)/6)</f>
        <v/>
      </c>
      <c r="B221" s="13" t="inlineStr">
        <is>
          <t>Café da tarde</t>
        </is>
      </c>
      <c r="C221" s="14" t="n"/>
      <c r="D221" s="14" t="n"/>
      <c r="E221" s="15" t="n"/>
      <c r="F221" s="14" t="n"/>
      <c r="G221" s="15" t="n"/>
      <c r="H221" s="16" t="n"/>
      <c r="I221" s="16" t="n"/>
      <c r="J221" s="16" t="n"/>
      <c r="K221" s="14" t="n"/>
      <c r="L221" s="14" t="n"/>
      <c r="M221" s="15" t="n"/>
    </row>
    <row r="222">
      <c r="A222" s="12">
        <f>'Como usar'!$B$4+INT((ROW()-2)/6)</f>
        <v/>
      </c>
      <c r="B222" s="13" t="inlineStr">
        <is>
          <t>Janta</t>
        </is>
      </c>
      <c r="C222" s="14" t="n"/>
      <c r="D222" s="14" t="n"/>
      <c r="E222" s="15" t="n"/>
      <c r="F222" s="14" t="n"/>
      <c r="G222" s="15" t="n"/>
      <c r="H222" s="16" t="n"/>
      <c r="I222" s="16" t="n"/>
      <c r="J222" s="16" t="n"/>
      <c r="K222" s="14" t="n"/>
      <c r="L222" s="14" t="n"/>
      <c r="M222" s="15" t="n"/>
    </row>
    <row r="223">
      <c r="A223" s="12">
        <f>'Como usar'!$B$4+INT((ROW()-2)/6)</f>
        <v/>
      </c>
      <c r="B223" s="13" t="inlineStr">
        <is>
          <t>Ceia</t>
        </is>
      </c>
      <c r="C223" s="14" t="n"/>
      <c r="D223" s="14" t="n"/>
      <c r="E223" s="15" t="n"/>
      <c r="F223" s="14" t="n"/>
      <c r="G223" s="15" t="n"/>
      <c r="H223" s="16" t="n"/>
      <c r="I223" s="16" t="n"/>
      <c r="J223" s="16" t="n"/>
      <c r="K223" s="14" t="n"/>
      <c r="L223" s="14" t="n"/>
      <c r="M223" s="15" t="n"/>
    </row>
    <row r="224">
      <c r="A224" s="12">
        <f>'Como usar'!$B$4+INT((ROW()-2)/6)</f>
        <v/>
      </c>
      <c r="B224" s="13" t="inlineStr">
        <is>
          <t>Café da manhã</t>
        </is>
      </c>
      <c r="C224" s="14" t="n"/>
      <c r="D224" s="14" t="n"/>
      <c r="E224" s="15" t="n"/>
      <c r="F224" s="14" t="n"/>
      <c r="G224" s="15" t="n"/>
      <c r="H224" s="16" t="n"/>
      <c r="I224" s="16" t="n"/>
      <c r="J224" s="16" t="n"/>
      <c r="K224" s="14" t="n"/>
      <c r="L224" s="14" t="n"/>
      <c r="M224" s="15" t="n"/>
    </row>
    <row r="225">
      <c r="A225" s="12">
        <f>'Como usar'!$B$4+INT((ROW()-2)/6)</f>
        <v/>
      </c>
      <c r="B225" s="13" t="inlineStr">
        <is>
          <t>Lanche</t>
        </is>
      </c>
      <c r="C225" s="14" t="n"/>
      <c r="D225" s="14" t="n"/>
      <c r="E225" s="15" t="n"/>
      <c r="F225" s="14" t="n"/>
      <c r="G225" s="15" t="n"/>
      <c r="H225" s="16" t="n"/>
      <c r="I225" s="16" t="n"/>
      <c r="J225" s="16" t="n"/>
      <c r="K225" s="14" t="n"/>
      <c r="L225" s="14" t="n"/>
      <c r="M225" s="15" t="n"/>
    </row>
    <row r="226">
      <c r="A226" s="12">
        <f>'Como usar'!$B$4+INT((ROW()-2)/6)</f>
        <v/>
      </c>
      <c r="B226" s="13" t="inlineStr">
        <is>
          <t>Almoço</t>
        </is>
      </c>
      <c r="C226" s="14" t="n"/>
      <c r="D226" s="14" t="n"/>
      <c r="E226" s="15" t="n"/>
      <c r="F226" s="14" t="n"/>
      <c r="G226" s="15" t="n"/>
      <c r="H226" s="16" t="n"/>
      <c r="I226" s="16" t="n"/>
      <c r="J226" s="16" t="n"/>
      <c r="K226" s="14" t="n"/>
      <c r="L226" s="14" t="n"/>
      <c r="M226" s="15" t="n"/>
    </row>
    <row r="227">
      <c r="A227" s="12">
        <f>'Como usar'!$B$4+INT((ROW()-2)/6)</f>
        <v/>
      </c>
      <c r="B227" s="13" t="inlineStr">
        <is>
          <t>Café da tarde</t>
        </is>
      </c>
      <c r="C227" s="14" t="n"/>
      <c r="D227" s="14" t="n"/>
      <c r="E227" s="15" t="n"/>
      <c r="F227" s="14" t="n"/>
      <c r="G227" s="15" t="n"/>
      <c r="H227" s="16" t="n"/>
      <c r="I227" s="16" t="n"/>
      <c r="J227" s="16" t="n"/>
      <c r="K227" s="14" t="n"/>
      <c r="L227" s="14" t="n"/>
      <c r="M227" s="15" t="n"/>
    </row>
    <row r="228">
      <c r="A228" s="12">
        <f>'Como usar'!$B$4+INT((ROW()-2)/6)</f>
        <v/>
      </c>
      <c r="B228" s="13" t="inlineStr">
        <is>
          <t>Janta</t>
        </is>
      </c>
      <c r="C228" s="14" t="n"/>
      <c r="D228" s="14" t="n"/>
      <c r="E228" s="15" t="n"/>
      <c r="F228" s="14" t="n"/>
      <c r="G228" s="15" t="n"/>
      <c r="H228" s="16" t="n"/>
      <c r="I228" s="16" t="n"/>
      <c r="J228" s="16" t="n"/>
      <c r="K228" s="14" t="n"/>
      <c r="L228" s="14" t="n"/>
      <c r="M228" s="15" t="n"/>
    </row>
    <row r="229">
      <c r="A229" s="12">
        <f>'Como usar'!$B$4+INT((ROW()-2)/6)</f>
        <v/>
      </c>
      <c r="B229" s="13" t="inlineStr">
        <is>
          <t>Ceia</t>
        </is>
      </c>
      <c r="C229" s="14" t="n"/>
      <c r="D229" s="14" t="n"/>
      <c r="E229" s="15" t="n"/>
      <c r="F229" s="14" t="n"/>
      <c r="G229" s="15" t="n"/>
      <c r="H229" s="16" t="n"/>
      <c r="I229" s="16" t="n"/>
      <c r="J229" s="16" t="n"/>
      <c r="K229" s="14" t="n"/>
      <c r="L229" s="14" t="n"/>
      <c r="M229" s="15" t="n"/>
    </row>
    <row r="230">
      <c r="A230" s="12">
        <f>'Como usar'!$B$4+INT((ROW()-2)/6)</f>
        <v/>
      </c>
      <c r="B230" s="13" t="inlineStr">
        <is>
          <t>Café da manhã</t>
        </is>
      </c>
      <c r="C230" s="14" t="n"/>
      <c r="D230" s="14" t="n"/>
      <c r="E230" s="15" t="n"/>
      <c r="F230" s="14" t="n"/>
      <c r="G230" s="15" t="n"/>
      <c r="H230" s="16" t="n"/>
      <c r="I230" s="16" t="n"/>
      <c r="J230" s="16" t="n"/>
      <c r="K230" s="14" t="n"/>
      <c r="L230" s="14" t="n"/>
      <c r="M230" s="15" t="n"/>
    </row>
    <row r="231">
      <c r="A231" s="12">
        <f>'Como usar'!$B$4+INT((ROW()-2)/6)</f>
        <v/>
      </c>
      <c r="B231" s="13" t="inlineStr">
        <is>
          <t>Lanche</t>
        </is>
      </c>
      <c r="C231" s="14" t="n"/>
      <c r="D231" s="14" t="n"/>
      <c r="E231" s="15" t="n"/>
      <c r="F231" s="14" t="n"/>
      <c r="G231" s="15" t="n"/>
      <c r="H231" s="16" t="n"/>
      <c r="I231" s="16" t="n"/>
      <c r="J231" s="16" t="n"/>
      <c r="K231" s="14" t="n"/>
      <c r="L231" s="14" t="n"/>
      <c r="M231" s="15" t="n"/>
    </row>
    <row r="232">
      <c r="A232" s="12">
        <f>'Como usar'!$B$4+INT((ROW()-2)/6)</f>
        <v/>
      </c>
      <c r="B232" s="13" t="inlineStr">
        <is>
          <t>Almoço</t>
        </is>
      </c>
      <c r="C232" s="14" t="n"/>
      <c r="D232" s="14" t="n"/>
      <c r="E232" s="15" t="n"/>
      <c r="F232" s="14" t="n"/>
      <c r="G232" s="15" t="n"/>
      <c r="H232" s="16" t="n"/>
      <c r="I232" s="16" t="n"/>
      <c r="J232" s="16" t="n"/>
      <c r="K232" s="14" t="n"/>
      <c r="L232" s="14" t="n"/>
      <c r="M232" s="15" t="n"/>
    </row>
    <row r="233">
      <c r="A233" s="12">
        <f>'Como usar'!$B$4+INT((ROW()-2)/6)</f>
        <v/>
      </c>
      <c r="B233" s="13" t="inlineStr">
        <is>
          <t>Café da tarde</t>
        </is>
      </c>
      <c r="C233" s="14" t="n"/>
      <c r="D233" s="14" t="n"/>
      <c r="E233" s="15" t="n"/>
      <c r="F233" s="14" t="n"/>
      <c r="G233" s="15" t="n"/>
      <c r="H233" s="16" t="n"/>
      <c r="I233" s="16" t="n"/>
      <c r="J233" s="16" t="n"/>
      <c r="K233" s="14" t="n"/>
      <c r="L233" s="14" t="n"/>
      <c r="M233" s="15" t="n"/>
    </row>
    <row r="234">
      <c r="A234" s="12">
        <f>'Como usar'!$B$4+INT((ROW()-2)/6)</f>
        <v/>
      </c>
      <c r="B234" s="13" t="inlineStr">
        <is>
          <t>Janta</t>
        </is>
      </c>
      <c r="C234" s="14" t="n"/>
      <c r="D234" s="14" t="n"/>
      <c r="E234" s="15" t="n"/>
      <c r="F234" s="14" t="n"/>
      <c r="G234" s="15" t="n"/>
      <c r="H234" s="16" t="n"/>
      <c r="I234" s="16" t="n"/>
      <c r="J234" s="16" t="n"/>
      <c r="K234" s="14" t="n"/>
      <c r="L234" s="14" t="n"/>
      <c r="M234" s="15" t="n"/>
    </row>
    <row r="235">
      <c r="A235" s="12">
        <f>'Como usar'!$B$4+INT((ROW()-2)/6)</f>
        <v/>
      </c>
      <c r="B235" s="13" t="inlineStr">
        <is>
          <t>Ceia</t>
        </is>
      </c>
      <c r="C235" s="14" t="n"/>
      <c r="D235" s="14" t="n"/>
      <c r="E235" s="15" t="n"/>
      <c r="F235" s="14" t="n"/>
      <c r="G235" s="15" t="n"/>
      <c r="H235" s="16" t="n"/>
      <c r="I235" s="16" t="n"/>
      <c r="J235" s="16" t="n"/>
      <c r="K235" s="14" t="n"/>
      <c r="L235" s="14" t="n"/>
      <c r="M235" s="15" t="n"/>
    </row>
    <row r="236">
      <c r="A236" s="12">
        <f>'Como usar'!$B$4+INT((ROW()-2)/6)</f>
        <v/>
      </c>
      <c r="B236" s="13" t="inlineStr">
        <is>
          <t>Café da manhã</t>
        </is>
      </c>
      <c r="C236" s="14" t="n"/>
      <c r="D236" s="14" t="n"/>
      <c r="E236" s="15" t="n"/>
      <c r="F236" s="14" t="n"/>
      <c r="G236" s="15" t="n"/>
      <c r="H236" s="16" t="n"/>
      <c r="I236" s="16" t="n"/>
      <c r="J236" s="16" t="n"/>
      <c r="K236" s="14" t="n"/>
      <c r="L236" s="14" t="n"/>
      <c r="M236" s="15" t="n"/>
    </row>
    <row r="237">
      <c r="A237" s="12">
        <f>'Como usar'!$B$4+INT((ROW()-2)/6)</f>
        <v/>
      </c>
      <c r="B237" s="13" t="inlineStr">
        <is>
          <t>Lanche</t>
        </is>
      </c>
      <c r="C237" s="14" t="n"/>
      <c r="D237" s="14" t="n"/>
      <c r="E237" s="15" t="n"/>
      <c r="F237" s="14" t="n"/>
      <c r="G237" s="15" t="n"/>
      <c r="H237" s="16" t="n"/>
      <c r="I237" s="16" t="n"/>
      <c r="J237" s="16" t="n"/>
      <c r="K237" s="14" t="n"/>
      <c r="L237" s="14" t="n"/>
      <c r="M237" s="15" t="n"/>
    </row>
    <row r="238">
      <c r="A238" s="12">
        <f>'Como usar'!$B$4+INT((ROW()-2)/6)</f>
        <v/>
      </c>
      <c r="B238" s="13" t="inlineStr">
        <is>
          <t>Almoço</t>
        </is>
      </c>
      <c r="C238" s="14" t="n"/>
      <c r="D238" s="14" t="n"/>
      <c r="E238" s="15" t="n"/>
      <c r="F238" s="14" t="n"/>
      <c r="G238" s="15" t="n"/>
      <c r="H238" s="16" t="n"/>
      <c r="I238" s="16" t="n"/>
      <c r="J238" s="16" t="n"/>
      <c r="K238" s="14" t="n"/>
      <c r="L238" s="14" t="n"/>
      <c r="M238" s="15" t="n"/>
    </row>
    <row r="239">
      <c r="A239" s="12">
        <f>'Como usar'!$B$4+INT((ROW()-2)/6)</f>
        <v/>
      </c>
      <c r="B239" s="13" t="inlineStr">
        <is>
          <t>Café da tarde</t>
        </is>
      </c>
      <c r="C239" s="14" t="n"/>
      <c r="D239" s="14" t="n"/>
      <c r="E239" s="15" t="n"/>
      <c r="F239" s="14" t="n"/>
      <c r="G239" s="15" t="n"/>
      <c r="H239" s="16" t="n"/>
      <c r="I239" s="16" t="n"/>
      <c r="J239" s="16" t="n"/>
      <c r="K239" s="14" t="n"/>
      <c r="L239" s="14" t="n"/>
      <c r="M239" s="15" t="n"/>
    </row>
    <row r="240">
      <c r="A240" s="12">
        <f>'Como usar'!$B$4+INT((ROW()-2)/6)</f>
        <v/>
      </c>
      <c r="B240" s="13" t="inlineStr">
        <is>
          <t>Janta</t>
        </is>
      </c>
      <c r="C240" s="14" t="n"/>
      <c r="D240" s="14" t="n"/>
      <c r="E240" s="15" t="n"/>
      <c r="F240" s="14" t="n"/>
      <c r="G240" s="15" t="n"/>
      <c r="H240" s="16" t="n"/>
      <c r="I240" s="16" t="n"/>
      <c r="J240" s="16" t="n"/>
      <c r="K240" s="14" t="n"/>
      <c r="L240" s="14" t="n"/>
      <c r="M240" s="15" t="n"/>
    </row>
    <row r="241">
      <c r="A241" s="12">
        <f>'Como usar'!$B$4+INT((ROW()-2)/6)</f>
        <v/>
      </c>
      <c r="B241" s="13" t="inlineStr">
        <is>
          <t>Ceia</t>
        </is>
      </c>
      <c r="C241" s="14" t="n"/>
      <c r="D241" s="14" t="n"/>
      <c r="E241" s="15" t="n"/>
      <c r="F241" s="14" t="n"/>
      <c r="G241" s="15" t="n"/>
      <c r="H241" s="16" t="n"/>
      <c r="I241" s="16" t="n"/>
      <c r="J241" s="16" t="n"/>
      <c r="K241" s="14" t="n"/>
      <c r="L241" s="14" t="n"/>
      <c r="M241" s="15" t="n"/>
    </row>
    <row r="242">
      <c r="A242" s="12">
        <f>'Como usar'!$B$4+INT((ROW()-2)/6)</f>
        <v/>
      </c>
      <c r="B242" s="13" t="inlineStr">
        <is>
          <t>Café da manhã</t>
        </is>
      </c>
      <c r="C242" s="14" t="n"/>
      <c r="D242" s="14" t="n"/>
      <c r="E242" s="15" t="n"/>
      <c r="F242" s="14" t="n"/>
      <c r="G242" s="15" t="n"/>
      <c r="H242" s="16" t="n"/>
      <c r="I242" s="16" t="n"/>
      <c r="J242" s="16" t="n"/>
      <c r="K242" s="14" t="n"/>
      <c r="L242" s="14" t="n"/>
      <c r="M242" s="15" t="n"/>
    </row>
    <row r="243">
      <c r="A243" s="12">
        <f>'Como usar'!$B$4+INT((ROW()-2)/6)</f>
        <v/>
      </c>
      <c r="B243" s="13" t="inlineStr">
        <is>
          <t>Lanche</t>
        </is>
      </c>
      <c r="C243" s="14" t="n"/>
      <c r="D243" s="14" t="n"/>
      <c r="E243" s="15" t="n"/>
      <c r="F243" s="14" t="n"/>
      <c r="G243" s="15" t="n"/>
      <c r="H243" s="16" t="n"/>
      <c r="I243" s="16" t="n"/>
      <c r="J243" s="16" t="n"/>
      <c r="K243" s="14" t="n"/>
      <c r="L243" s="14" t="n"/>
      <c r="M243" s="15" t="n"/>
    </row>
    <row r="244">
      <c r="A244" s="12">
        <f>'Como usar'!$B$4+INT((ROW()-2)/6)</f>
        <v/>
      </c>
      <c r="B244" s="13" t="inlineStr">
        <is>
          <t>Almoço</t>
        </is>
      </c>
      <c r="C244" s="14" t="n"/>
      <c r="D244" s="14" t="n"/>
      <c r="E244" s="15" t="n"/>
      <c r="F244" s="14" t="n"/>
      <c r="G244" s="15" t="n"/>
      <c r="H244" s="16" t="n"/>
      <c r="I244" s="16" t="n"/>
      <c r="J244" s="16" t="n"/>
      <c r="K244" s="14" t="n"/>
      <c r="L244" s="14" t="n"/>
      <c r="M244" s="15" t="n"/>
    </row>
    <row r="245">
      <c r="A245" s="12">
        <f>'Como usar'!$B$4+INT((ROW()-2)/6)</f>
        <v/>
      </c>
      <c r="B245" s="13" t="inlineStr">
        <is>
          <t>Café da tarde</t>
        </is>
      </c>
      <c r="C245" s="14" t="n"/>
      <c r="D245" s="14" t="n"/>
      <c r="E245" s="15" t="n"/>
      <c r="F245" s="14" t="n"/>
      <c r="G245" s="15" t="n"/>
      <c r="H245" s="16" t="n"/>
      <c r="I245" s="16" t="n"/>
      <c r="J245" s="16" t="n"/>
      <c r="K245" s="14" t="n"/>
      <c r="L245" s="14" t="n"/>
      <c r="M245" s="15" t="n"/>
    </row>
    <row r="246">
      <c r="A246" s="12">
        <f>'Como usar'!$B$4+INT((ROW()-2)/6)</f>
        <v/>
      </c>
      <c r="B246" s="13" t="inlineStr">
        <is>
          <t>Janta</t>
        </is>
      </c>
      <c r="C246" s="14" t="n"/>
      <c r="D246" s="14" t="n"/>
      <c r="E246" s="15" t="n"/>
      <c r="F246" s="14" t="n"/>
      <c r="G246" s="15" t="n"/>
      <c r="H246" s="16" t="n"/>
      <c r="I246" s="16" t="n"/>
      <c r="J246" s="16" t="n"/>
      <c r="K246" s="14" t="n"/>
      <c r="L246" s="14" t="n"/>
      <c r="M246" s="15" t="n"/>
    </row>
    <row r="247">
      <c r="A247" s="12">
        <f>'Como usar'!$B$4+INT((ROW()-2)/6)</f>
        <v/>
      </c>
      <c r="B247" s="13" t="inlineStr">
        <is>
          <t>Ceia</t>
        </is>
      </c>
      <c r="C247" s="14" t="n"/>
      <c r="D247" s="14" t="n"/>
      <c r="E247" s="15" t="n"/>
      <c r="F247" s="14" t="n"/>
      <c r="G247" s="15" t="n"/>
      <c r="H247" s="16" t="n"/>
      <c r="I247" s="16" t="n"/>
      <c r="J247" s="16" t="n"/>
      <c r="K247" s="14" t="n"/>
      <c r="L247" s="14" t="n"/>
      <c r="M247" s="15" t="n"/>
    </row>
    <row r="248">
      <c r="A248" s="12">
        <f>'Como usar'!$B$4+INT((ROW()-2)/6)</f>
        <v/>
      </c>
      <c r="B248" s="13" t="inlineStr">
        <is>
          <t>Café da manhã</t>
        </is>
      </c>
      <c r="C248" s="14" t="n"/>
      <c r="D248" s="14" t="n"/>
      <c r="E248" s="15" t="n"/>
      <c r="F248" s="14" t="n"/>
      <c r="G248" s="15" t="n"/>
      <c r="H248" s="16" t="n"/>
      <c r="I248" s="16" t="n"/>
      <c r="J248" s="16" t="n"/>
      <c r="K248" s="14" t="n"/>
      <c r="L248" s="14" t="n"/>
      <c r="M248" s="15" t="n"/>
    </row>
    <row r="249">
      <c r="A249" s="12">
        <f>'Como usar'!$B$4+INT((ROW()-2)/6)</f>
        <v/>
      </c>
      <c r="B249" s="13" t="inlineStr">
        <is>
          <t>Lanche</t>
        </is>
      </c>
      <c r="C249" s="14" t="n"/>
      <c r="D249" s="14" t="n"/>
      <c r="E249" s="15" t="n"/>
      <c r="F249" s="14" t="n"/>
      <c r="G249" s="15" t="n"/>
      <c r="H249" s="16" t="n"/>
      <c r="I249" s="16" t="n"/>
      <c r="J249" s="16" t="n"/>
      <c r="K249" s="14" t="n"/>
      <c r="L249" s="14" t="n"/>
      <c r="M249" s="15" t="n"/>
    </row>
    <row r="250">
      <c r="A250" s="12">
        <f>'Como usar'!$B$4+INT((ROW()-2)/6)</f>
        <v/>
      </c>
      <c r="B250" s="13" t="inlineStr">
        <is>
          <t>Almoço</t>
        </is>
      </c>
      <c r="C250" s="14" t="n"/>
      <c r="D250" s="14" t="n"/>
      <c r="E250" s="15" t="n"/>
      <c r="F250" s="14" t="n"/>
      <c r="G250" s="15" t="n"/>
      <c r="H250" s="16" t="n"/>
      <c r="I250" s="16" t="n"/>
      <c r="J250" s="16" t="n"/>
      <c r="K250" s="14" t="n"/>
      <c r="L250" s="14" t="n"/>
      <c r="M250" s="15" t="n"/>
    </row>
    <row r="251">
      <c r="A251" s="12">
        <f>'Como usar'!$B$4+INT((ROW()-2)/6)</f>
        <v/>
      </c>
      <c r="B251" s="13" t="inlineStr">
        <is>
          <t>Café da tarde</t>
        </is>
      </c>
      <c r="C251" s="14" t="n"/>
      <c r="D251" s="14" t="n"/>
      <c r="E251" s="15" t="n"/>
      <c r="F251" s="14" t="n"/>
      <c r="G251" s="15" t="n"/>
      <c r="H251" s="16" t="n"/>
      <c r="I251" s="16" t="n"/>
      <c r="J251" s="16" t="n"/>
      <c r="K251" s="14" t="n"/>
      <c r="L251" s="14" t="n"/>
      <c r="M251" s="15" t="n"/>
    </row>
    <row r="252">
      <c r="A252" s="12">
        <f>'Como usar'!$B$4+INT((ROW()-2)/6)</f>
        <v/>
      </c>
      <c r="B252" s="13" t="inlineStr">
        <is>
          <t>Janta</t>
        </is>
      </c>
      <c r="C252" s="14" t="n"/>
      <c r="D252" s="14" t="n"/>
      <c r="E252" s="15" t="n"/>
      <c r="F252" s="14" t="n"/>
      <c r="G252" s="15" t="n"/>
      <c r="H252" s="16" t="n"/>
      <c r="I252" s="16" t="n"/>
      <c r="J252" s="16" t="n"/>
      <c r="K252" s="14" t="n"/>
      <c r="L252" s="14" t="n"/>
      <c r="M252" s="15" t="n"/>
    </row>
    <row r="253">
      <c r="A253" s="12">
        <f>'Como usar'!$B$4+INT((ROW()-2)/6)</f>
        <v/>
      </c>
      <c r="B253" s="13" t="inlineStr">
        <is>
          <t>Ceia</t>
        </is>
      </c>
      <c r="C253" s="14" t="n"/>
      <c r="D253" s="14" t="n"/>
      <c r="E253" s="15" t="n"/>
      <c r="F253" s="14" t="n"/>
      <c r="G253" s="15" t="n"/>
      <c r="H253" s="16" t="n"/>
      <c r="I253" s="16" t="n"/>
      <c r="J253" s="16" t="n"/>
      <c r="K253" s="14" t="n"/>
      <c r="L253" s="14" t="n"/>
      <c r="M253" s="15" t="n"/>
    </row>
    <row r="254">
      <c r="A254" s="12">
        <f>'Como usar'!$B$4+INT((ROW()-2)/6)</f>
        <v/>
      </c>
      <c r="B254" s="13" t="inlineStr">
        <is>
          <t>Café da manhã</t>
        </is>
      </c>
      <c r="C254" s="14" t="n"/>
      <c r="D254" s="14" t="n"/>
      <c r="E254" s="15" t="n"/>
      <c r="F254" s="14" t="n"/>
      <c r="G254" s="15" t="n"/>
      <c r="H254" s="16" t="n"/>
      <c r="I254" s="16" t="n"/>
      <c r="J254" s="16" t="n"/>
      <c r="K254" s="14" t="n"/>
      <c r="L254" s="14" t="n"/>
      <c r="M254" s="15" t="n"/>
    </row>
    <row r="255">
      <c r="A255" s="12">
        <f>'Como usar'!$B$4+INT((ROW()-2)/6)</f>
        <v/>
      </c>
      <c r="B255" s="13" t="inlineStr">
        <is>
          <t>Lanche</t>
        </is>
      </c>
      <c r="C255" s="14" t="n"/>
      <c r="D255" s="14" t="n"/>
      <c r="E255" s="15" t="n"/>
      <c r="F255" s="14" t="n"/>
      <c r="G255" s="15" t="n"/>
      <c r="H255" s="16" t="n"/>
      <c r="I255" s="16" t="n"/>
      <c r="J255" s="16" t="n"/>
      <c r="K255" s="14" t="n"/>
      <c r="L255" s="14" t="n"/>
      <c r="M255" s="15" t="n"/>
    </row>
    <row r="256">
      <c r="A256" s="12">
        <f>'Como usar'!$B$4+INT((ROW()-2)/6)</f>
        <v/>
      </c>
      <c r="B256" s="13" t="inlineStr">
        <is>
          <t>Almoço</t>
        </is>
      </c>
      <c r="C256" s="14" t="n"/>
      <c r="D256" s="14" t="n"/>
      <c r="E256" s="15" t="n"/>
      <c r="F256" s="14" t="n"/>
      <c r="G256" s="15" t="n"/>
      <c r="H256" s="16" t="n"/>
      <c r="I256" s="16" t="n"/>
      <c r="J256" s="16" t="n"/>
      <c r="K256" s="14" t="n"/>
      <c r="L256" s="14" t="n"/>
      <c r="M256" s="15" t="n"/>
    </row>
    <row r="257">
      <c r="A257" s="12">
        <f>'Como usar'!$B$4+INT((ROW()-2)/6)</f>
        <v/>
      </c>
      <c r="B257" s="13" t="inlineStr">
        <is>
          <t>Café da tarde</t>
        </is>
      </c>
      <c r="C257" s="14" t="n"/>
      <c r="D257" s="14" t="n"/>
      <c r="E257" s="15" t="n"/>
      <c r="F257" s="14" t="n"/>
      <c r="G257" s="15" t="n"/>
      <c r="H257" s="16" t="n"/>
      <c r="I257" s="16" t="n"/>
      <c r="J257" s="16" t="n"/>
      <c r="K257" s="14" t="n"/>
      <c r="L257" s="14" t="n"/>
      <c r="M257" s="15" t="n"/>
    </row>
    <row r="258">
      <c r="A258" s="12">
        <f>'Como usar'!$B$4+INT((ROW()-2)/6)</f>
        <v/>
      </c>
      <c r="B258" s="13" t="inlineStr">
        <is>
          <t>Janta</t>
        </is>
      </c>
      <c r="C258" s="14" t="n"/>
      <c r="D258" s="14" t="n"/>
      <c r="E258" s="15" t="n"/>
      <c r="F258" s="14" t="n"/>
      <c r="G258" s="15" t="n"/>
      <c r="H258" s="16" t="n"/>
      <c r="I258" s="16" t="n"/>
      <c r="J258" s="16" t="n"/>
      <c r="K258" s="14" t="n"/>
      <c r="L258" s="14" t="n"/>
      <c r="M258" s="15" t="n"/>
    </row>
    <row r="259">
      <c r="A259" s="12">
        <f>'Como usar'!$B$4+INT((ROW()-2)/6)</f>
        <v/>
      </c>
      <c r="B259" s="13" t="inlineStr">
        <is>
          <t>Ceia</t>
        </is>
      </c>
      <c r="C259" s="14" t="n"/>
      <c r="D259" s="14" t="n"/>
      <c r="E259" s="15" t="n"/>
      <c r="F259" s="14" t="n"/>
      <c r="G259" s="15" t="n"/>
      <c r="H259" s="16" t="n"/>
      <c r="I259" s="16" t="n"/>
      <c r="J259" s="16" t="n"/>
      <c r="K259" s="14" t="n"/>
      <c r="L259" s="14" t="n"/>
      <c r="M259" s="15" t="n"/>
    </row>
    <row r="260">
      <c r="A260" s="12">
        <f>'Como usar'!$B$4+INT((ROW()-2)/6)</f>
        <v/>
      </c>
      <c r="B260" s="13" t="inlineStr">
        <is>
          <t>Café da manhã</t>
        </is>
      </c>
      <c r="C260" s="14" t="n"/>
      <c r="D260" s="14" t="n"/>
      <c r="E260" s="15" t="n"/>
      <c r="F260" s="14" t="n"/>
      <c r="G260" s="15" t="n"/>
      <c r="H260" s="16" t="n"/>
      <c r="I260" s="16" t="n"/>
      <c r="J260" s="16" t="n"/>
      <c r="K260" s="14" t="n"/>
      <c r="L260" s="14" t="n"/>
      <c r="M260" s="15" t="n"/>
    </row>
    <row r="261">
      <c r="A261" s="12">
        <f>'Como usar'!$B$4+INT((ROW()-2)/6)</f>
        <v/>
      </c>
      <c r="B261" s="13" t="inlineStr">
        <is>
          <t>Lanche</t>
        </is>
      </c>
      <c r="C261" s="14" t="n"/>
      <c r="D261" s="14" t="n"/>
      <c r="E261" s="15" t="n"/>
      <c r="F261" s="14" t="n"/>
      <c r="G261" s="15" t="n"/>
      <c r="H261" s="16" t="n"/>
      <c r="I261" s="16" t="n"/>
      <c r="J261" s="16" t="n"/>
      <c r="K261" s="14" t="n"/>
      <c r="L261" s="14" t="n"/>
      <c r="M261" s="15" t="n"/>
    </row>
    <row r="262">
      <c r="A262" s="12">
        <f>'Como usar'!$B$4+INT((ROW()-2)/6)</f>
        <v/>
      </c>
      <c r="B262" s="13" t="inlineStr">
        <is>
          <t>Almoço</t>
        </is>
      </c>
      <c r="C262" s="14" t="n"/>
      <c r="D262" s="14" t="n"/>
      <c r="E262" s="15" t="n"/>
      <c r="F262" s="14" t="n"/>
      <c r="G262" s="15" t="n"/>
      <c r="H262" s="16" t="n"/>
      <c r="I262" s="16" t="n"/>
      <c r="J262" s="16" t="n"/>
      <c r="K262" s="14" t="n"/>
      <c r="L262" s="14" t="n"/>
      <c r="M262" s="15" t="n"/>
    </row>
    <row r="263">
      <c r="A263" s="12">
        <f>'Como usar'!$B$4+INT((ROW()-2)/6)</f>
        <v/>
      </c>
      <c r="B263" s="13" t="inlineStr">
        <is>
          <t>Café da tarde</t>
        </is>
      </c>
      <c r="C263" s="14" t="n"/>
      <c r="D263" s="14" t="n"/>
      <c r="E263" s="15" t="n"/>
      <c r="F263" s="14" t="n"/>
      <c r="G263" s="15" t="n"/>
      <c r="H263" s="16" t="n"/>
      <c r="I263" s="16" t="n"/>
      <c r="J263" s="16" t="n"/>
      <c r="K263" s="14" t="n"/>
      <c r="L263" s="14" t="n"/>
      <c r="M263" s="15" t="n"/>
    </row>
    <row r="264">
      <c r="A264" s="12">
        <f>'Como usar'!$B$4+INT((ROW()-2)/6)</f>
        <v/>
      </c>
      <c r="B264" s="13" t="inlineStr">
        <is>
          <t>Janta</t>
        </is>
      </c>
      <c r="C264" s="14" t="n"/>
      <c r="D264" s="14" t="n"/>
      <c r="E264" s="15" t="n"/>
      <c r="F264" s="14" t="n"/>
      <c r="G264" s="15" t="n"/>
      <c r="H264" s="16" t="n"/>
      <c r="I264" s="16" t="n"/>
      <c r="J264" s="16" t="n"/>
      <c r="K264" s="14" t="n"/>
      <c r="L264" s="14" t="n"/>
      <c r="M264" s="15" t="n"/>
    </row>
    <row r="265">
      <c r="A265" s="12">
        <f>'Como usar'!$B$4+INT((ROW()-2)/6)</f>
        <v/>
      </c>
      <c r="B265" s="13" t="inlineStr">
        <is>
          <t>Ceia</t>
        </is>
      </c>
      <c r="C265" s="14" t="n"/>
      <c r="D265" s="14" t="n"/>
      <c r="E265" s="15" t="n"/>
      <c r="F265" s="14" t="n"/>
      <c r="G265" s="15" t="n"/>
      <c r="H265" s="16" t="n"/>
      <c r="I265" s="16" t="n"/>
      <c r="J265" s="16" t="n"/>
      <c r="K265" s="14" t="n"/>
      <c r="L265" s="14" t="n"/>
      <c r="M265" s="15" t="n"/>
    </row>
    <row r="266">
      <c r="A266" s="12">
        <f>'Como usar'!$B$4+INT((ROW()-2)/6)</f>
        <v/>
      </c>
      <c r="B266" s="13" t="inlineStr">
        <is>
          <t>Café da manhã</t>
        </is>
      </c>
      <c r="C266" s="14" t="n"/>
      <c r="D266" s="14" t="n"/>
      <c r="E266" s="15" t="n"/>
      <c r="F266" s="14" t="n"/>
      <c r="G266" s="15" t="n"/>
      <c r="H266" s="16" t="n"/>
      <c r="I266" s="16" t="n"/>
      <c r="J266" s="16" t="n"/>
      <c r="K266" s="14" t="n"/>
      <c r="L266" s="14" t="n"/>
      <c r="M266" s="15" t="n"/>
    </row>
    <row r="267">
      <c r="A267" s="12">
        <f>'Como usar'!$B$4+INT((ROW()-2)/6)</f>
        <v/>
      </c>
      <c r="B267" s="13" t="inlineStr">
        <is>
          <t>Lanche</t>
        </is>
      </c>
      <c r="C267" s="14" t="n"/>
      <c r="D267" s="14" t="n"/>
      <c r="E267" s="15" t="n"/>
      <c r="F267" s="14" t="n"/>
      <c r="G267" s="15" t="n"/>
      <c r="H267" s="16" t="n"/>
      <c r="I267" s="16" t="n"/>
      <c r="J267" s="16" t="n"/>
      <c r="K267" s="14" t="n"/>
      <c r="L267" s="14" t="n"/>
      <c r="M267" s="15" t="n"/>
    </row>
    <row r="268">
      <c r="A268" s="12">
        <f>'Como usar'!$B$4+INT((ROW()-2)/6)</f>
        <v/>
      </c>
      <c r="B268" s="13" t="inlineStr">
        <is>
          <t>Almoço</t>
        </is>
      </c>
      <c r="C268" s="14" t="n"/>
      <c r="D268" s="14" t="n"/>
      <c r="E268" s="15" t="n"/>
      <c r="F268" s="14" t="n"/>
      <c r="G268" s="15" t="n"/>
      <c r="H268" s="16" t="n"/>
      <c r="I268" s="16" t="n"/>
      <c r="J268" s="16" t="n"/>
      <c r="K268" s="14" t="n"/>
      <c r="L268" s="14" t="n"/>
      <c r="M268" s="15" t="n"/>
    </row>
    <row r="269">
      <c r="A269" s="12">
        <f>'Como usar'!$B$4+INT((ROW()-2)/6)</f>
        <v/>
      </c>
      <c r="B269" s="13" t="inlineStr">
        <is>
          <t>Café da tarde</t>
        </is>
      </c>
      <c r="C269" s="14" t="n"/>
      <c r="D269" s="14" t="n"/>
      <c r="E269" s="15" t="n"/>
      <c r="F269" s="14" t="n"/>
      <c r="G269" s="15" t="n"/>
      <c r="H269" s="16" t="n"/>
      <c r="I269" s="16" t="n"/>
      <c r="J269" s="16" t="n"/>
      <c r="K269" s="14" t="n"/>
      <c r="L269" s="14" t="n"/>
      <c r="M269" s="15" t="n"/>
    </row>
    <row r="270">
      <c r="A270" s="12">
        <f>'Como usar'!$B$4+INT((ROW()-2)/6)</f>
        <v/>
      </c>
      <c r="B270" s="13" t="inlineStr">
        <is>
          <t>Janta</t>
        </is>
      </c>
      <c r="C270" s="14" t="n"/>
      <c r="D270" s="14" t="n"/>
      <c r="E270" s="15" t="n"/>
      <c r="F270" s="14" t="n"/>
      <c r="G270" s="15" t="n"/>
      <c r="H270" s="16" t="n"/>
      <c r="I270" s="16" t="n"/>
      <c r="J270" s="16" t="n"/>
      <c r="K270" s="14" t="n"/>
      <c r="L270" s="14" t="n"/>
      <c r="M270" s="15" t="n"/>
    </row>
    <row r="271">
      <c r="A271" s="12">
        <f>'Como usar'!$B$4+INT((ROW()-2)/6)</f>
        <v/>
      </c>
      <c r="B271" s="13" t="inlineStr">
        <is>
          <t>Ceia</t>
        </is>
      </c>
      <c r="C271" s="14" t="n"/>
      <c r="D271" s="14" t="n"/>
      <c r="E271" s="15" t="n"/>
      <c r="F271" s="14" t="n"/>
      <c r="G271" s="15" t="n"/>
      <c r="H271" s="16" t="n"/>
      <c r="I271" s="16" t="n"/>
      <c r="J271" s="16" t="n"/>
      <c r="K271" s="14" t="n"/>
      <c r="L271" s="14" t="n"/>
      <c r="M271" s="15" t="n"/>
    </row>
    <row r="272">
      <c r="A272" s="12">
        <f>'Como usar'!$B$4+INT((ROW()-2)/6)</f>
        <v/>
      </c>
      <c r="B272" s="13" t="inlineStr">
        <is>
          <t>Café da manhã</t>
        </is>
      </c>
      <c r="C272" s="14" t="n"/>
      <c r="D272" s="14" t="n"/>
      <c r="E272" s="15" t="n"/>
      <c r="F272" s="14" t="n"/>
      <c r="G272" s="15" t="n"/>
      <c r="H272" s="16" t="n"/>
      <c r="I272" s="16" t="n"/>
      <c r="J272" s="16" t="n"/>
      <c r="K272" s="14" t="n"/>
      <c r="L272" s="14" t="n"/>
      <c r="M272" s="15" t="n"/>
    </row>
    <row r="273">
      <c r="A273" s="12">
        <f>'Como usar'!$B$4+INT((ROW()-2)/6)</f>
        <v/>
      </c>
      <c r="B273" s="13" t="inlineStr">
        <is>
          <t>Lanche</t>
        </is>
      </c>
      <c r="C273" s="14" t="n"/>
      <c r="D273" s="14" t="n"/>
      <c r="E273" s="15" t="n"/>
      <c r="F273" s="14" t="n"/>
      <c r="G273" s="15" t="n"/>
      <c r="H273" s="16" t="n"/>
      <c r="I273" s="16" t="n"/>
      <c r="J273" s="16" t="n"/>
      <c r="K273" s="14" t="n"/>
      <c r="L273" s="14" t="n"/>
      <c r="M273" s="15" t="n"/>
    </row>
    <row r="274">
      <c r="A274" s="12">
        <f>'Como usar'!$B$4+INT((ROW()-2)/6)</f>
        <v/>
      </c>
      <c r="B274" s="13" t="inlineStr">
        <is>
          <t>Almoço</t>
        </is>
      </c>
      <c r="C274" s="14" t="n"/>
      <c r="D274" s="14" t="n"/>
      <c r="E274" s="15" t="n"/>
      <c r="F274" s="14" t="n"/>
      <c r="G274" s="15" t="n"/>
      <c r="H274" s="16" t="n"/>
      <c r="I274" s="16" t="n"/>
      <c r="J274" s="16" t="n"/>
      <c r="K274" s="14" t="n"/>
      <c r="L274" s="14" t="n"/>
      <c r="M274" s="15" t="n"/>
    </row>
    <row r="275">
      <c r="A275" s="12">
        <f>'Como usar'!$B$4+INT((ROW()-2)/6)</f>
        <v/>
      </c>
      <c r="B275" s="13" t="inlineStr">
        <is>
          <t>Café da tarde</t>
        </is>
      </c>
      <c r="C275" s="14" t="n"/>
      <c r="D275" s="14" t="n"/>
      <c r="E275" s="15" t="n"/>
      <c r="F275" s="14" t="n"/>
      <c r="G275" s="15" t="n"/>
      <c r="H275" s="16" t="n"/>
      <c r="I275" s="16" t="n"/>
      <c r="J275" s="16" t="n"/>
      <c r="K275" s="14" t="n"/>
      <c r="L275" s="14" t="n"/>
      <c r="M275" s="15" t="n"/>
    </row>
    <row r="276">
      <c r="A276" s="12">
        <f>'Como usar'!$B$4+INT((ROW()-2)/6)</f>
        <v/>
      </c>
      <c r="B276" s="13" t="inlineStr">
        <is>
          <t>Janta</t>
        </is>
      </c>
      <c r="C276" s="14" t="n"/>
      <c r="D276" s="14" t="n"/>
      <c r="E276" s="15" t="n"/>
      <c r="F276" s="14" t="n"/>
      <c r="G276" s="15" t="n"/>
      <c r="H276" s="16" t="n"/>
      <c r="I276" s="16" t="n"/>
      <c r="J276" s="16" t="n"/>
      <c r="K276" s="14" t="n"/>
      <c r="L276" s="14" t="n"/>
      <c r="M276" s="15" t="n"/>
    </row>
    <row r="277">
      <c r="A277" s="12">
        <f>'Como usar'!$B$4+INT((ROW()-2)/6)</f>
        <v/>
      </c>
      <c r="B277" s="13" t="inlineStr">
        <is>
          <t>Ceia</t>
        </is>
      </c>
      <c r="C277" s="14" t="n"/>
      <c r="D277" s="14" t="n"/>
      <c r="E277" s="15" t="n"/>
      <c r="F277" s="14" t="n"/>
      <c r="G277" s="15" t="n"/>
      <c r="H277" s="16" t="n"/>
      <c r="I277" s="16" t="n"/>
      <c r="J277" s="16" t="n"/>
      <c r="K277" s="14" t="n"/>
      <c r="L277" s="14" t="n"/>
      <c r="M277" s="15" t="n"/>
    </row>
    <row r="278">
      <c r="A278" s="12">
        <f>'Como usar'!$B$4+INT((ROW()-2)/6)</f>
        <v/>
      </c>
      <c r="B278" s="13" t="inlineStr">
        <is>
          <t>Café da manhã</t>
        </is>
      </c>
      <c r="C278" s="14" t="n"/>
      <c r="D278" s="14" t="n"/>
      <c r="E278" s="15" t="n"/>
      <c r="F278" s="14" t="n"/>
      <c r="G278" s="15" t="n"/>
      <c r="H278" s="16" t="n"/>
      <c r="I278" s="16" t="n"/>
      <c r="J278" s="16" t="n"/>
      <c r="K278" s="14" t="n"/>
      <c r="L278" s="14" t="n"/>
      <c r="M278" s="15" t="n"/>
    </row>
    <row r="279">
      <c r="A279" s="12">
        <f>'Como usar'!$B$4+INT((ROW()-2)/6)</f>
        <v/>
      </c>
      <c r="B279" s="13" t="inlineStr">
        <is>
          <t>Lanche</t>
        </is>
      </c>
      <c r="C279" s="14" t="n"/>
      <c r="D279" s="14" t="n"/>
      <c r="E279" s="15" t="n"/>
      <c r="F279" s="14" t="n"/>
      <c r="G279" s="15" t="n"/>
      <c r="H279" s="16" t="n"/>
      <c r="I279" s="16" t="n"/>
      <c r="J279" s="16" t="n"/>
      <c r="K279" s="14" t="n"/>
      <c r="L279" s="14" t="n"/>
      <c r="M279" s="15" t="n"/>
    </row>
    <row r="280">
      <c r="A280" s="12">
        <f>'Como usar'!$B$4+INT((ROW()-2)/6)</f>
        <v/>
      </c>
      <c r="B280" s="13" t="inlineStr">
        <is>
          <t>Almoço</t>
        </is>
      </c>
      <c r="C280" s="14" t="n"/>
      <c r="D280" s="14" t="n"/>
      <c r="E280" s="15" t="n"/>
      <c r="F280" s="14" t="n"/>
      <c r="G280" s="15" t="n"/>
      <c r="H280" s="16" t="n"/>
      <c r="I280" s="16" t="n"/>
      <c r="J280" s="16" t="n"/>
      <c r="K280" s="14" t="n"/>
      <c r="L280" s="14" t="n"/>
      <c r="M280" s="15" t="n"/>
    </row>
    <row r="281">
      <c r="A281" s="12">
        <f>'Como usar'!$B$4+INT((ROW()-2)/6)</f>
        <v/>
      </c>
      <c r="B281" s="13" t="inlineStr">
        <is>
          <t>Café da tarde</t>
        </is>
      </c>
      <c r="C281" s="14" t="n"/>
      <c r="D281" s="14" t="n"/>
      <c r="E281" s="15" t="n"/>
      <c r="F281" s="14" t="n"/>
      <c r="G281" s="15" t="n"/>
      <c r="H281" s="16" t="n"/>
      <c r="I281" s="16" t="n"/>
      <c r="J281" s="16" t="n"/>
      <c r="K281" s="14" t="n"/>
      <c r="L281" s="14" t="n"/>
      <c r="M281" s="15" t="n"/>
    </row>
    <row r="282">
      <c r="A282" s="12">
        <f>'Como usar'!$B$4+INT((ROW()-2)/6)</f>
        <v/>
      </c>
      <c r="B282" s="13" t="inlineStr">
        <is>
          <t>Janta</t>
        </is>
      </c>
      <c r="C282" s="14" t="n"/>
      <c r="D282" s="14" t="n"/>
      <c r="E282" s="15" t="n"/>
      <c r="F282" s="14" t="n"/>
      <c r="G282" s="15" t="n"/>
      <c r="H282" s="16" t="n"/>
      <c r="I282" s="16" t="n"/>
      <c r="J282" s="16" t="n"/>
      <c r="K282" s="14" t="n"/>
      <c r="L282" s="14" t="n"/>
      <c r="M282" s="15" t="n"/>
    </row>
    <row r="283">
      <c r="A283" s="12">
        <f>'Como usar'!$B$4+INT((ROW()-2)/6)</f>
        <v/>
      </c>
      <c r="B283" s="13" t="inlineStr">
        <is>
          <t>Ceia</t>
        </is>
      </c>
      <c r="C283" s="14" t="n"/>
      <c r="D283" s="14" t="n"/>
      <c r="E283" s="15" t="n"/>
      <c r="F283" s="14" t="n"/>
      <c r="G283" s="15" t="n"/>
      <c r="H283" s="16" t="n"/>
      <c r="I283" s="16" t="n"/>
      <c r="J283" s="16" t="n"/>
      <c r="K283" s="14" t="n"/>
      <c r="L283" s="14" t="n"/>
      <c r="M283" s="15" t="n"/>
    </row>
    <row r="284">
      <c r="A284" s="12">
        <f>'Como usar'!$B$4+INT((ROW()-2)/6)</f>
        <v/>
      </c>
      <c r="B284" s="13" t="inlineStr">
        <is>
          <t>Café da manhã</t>
        </is>
      </c>
      <c r="C284" s="14" t="n"/>
      <c r="D284" s="14" t="n"/>
      <c r="E284" s="15" t="n"/>
      <c r="F284" s="14" t="n"/>
      <c r="G284" s="15" t="n"/>
      <c r="H284" s="16" t="n"/>
      <c r="I284" s="16" t="n"/>
      <c r="J284" s="16" t="n"/>
      <c r="K284" s="14" t="n"/>
      <c r="L284" s="14" t="n"/>
      <c r="M284" s="15" t="n"/>
    </row>
    <row r="285">
      <c r="A285" s="12">
        <f>'Como usar'!$B$4+INT((ROW()-2)/6)</f>
        <v/>
      </c>
      <c r="B285" s="13" t="inlineStr">
        <is>
          <t>Lanche</t>
        </is>
      </c>
      <c r="C285" s="14" t="n"/>
      <c r="D285" s="14" t="n"/>
      <c r="E285" s="15" t="n"/>
      <c r="F285" s="14" t="n"/>
      <c r="G285" s="15" t="n"/>
      <c r="H285" s="16" t="n"/>
      <c r="I285" s="16" t="n"/>
      <c r="J285" s="16" t="n"/>
      <c r="K285" s="14" t="n"/>
      <c r="L285" s="14" t="n"/>
      <c r="M285" s="15" t="n"/>
    </row>
    <row r="286">
      <c r="A286" s="12">
        <f>'Como usar'!$B$4+INT((ROW()-2)/6)</f>
        <v/>
      </c>
      <c r="B286" s="13" t="inlineStr">
        <is>
          <t>Almoço</t>
        </is>
      </c>
      <c r="C286" s="14" t="n"/>
      <c r="D286" s="14" t="n"/>
      <c r="E286" s="15" t="n"/>
      <c r="F286" s="14" t="n"/>
      <c r="G286" s="15" t="n"/>
      <c r="H286" s="16" t="n"/>
      <c r="I286" s="16" t="n"/>
      <c r="J286" s="16" t="n"/>
      <c r="K286" s="14" t="n"/>
      <c r="L286" s="14" t="n"/>
      <c r="M286" s="15" t="n"/>
    </row>
    <row r="287">
      <c r="A287" s="12">
        <f>'Como usar'!$B$4+INT((ROW()-2)/6)</f>
        <v/>
      </c>
      <c r="B287" s="13" t="inlineStr">
        <is>
          <t>Café da tarde</t>
        </is>
      </c>
      <c r="C287" s="14" t="n"/>
      <c r="D287" s="14" t="n"/>
      <c r="E287" s="15" t="n"/>
      <c r="F287" s="14" t="n"/>
      <c r="G287" s="15" t="n"/>
      <c r="H287" s="16" t="n"/>
      <c r="I287" s="16" t="n"/>
      <c r="J287" s="16" t="n"/>
      <c r="K287" s="14" t="n"/>
      <c r="L287" s="14" t="n"/>
      <c r="M287" s="15" t="n"/>
    </row>
    <row r="288">
      <c r="A288" s="12">
        <f>'Como usar'!$B$4+INT((ROW()-2)/6)</f>
        <v/>
      </c>
      <c r="B288" s="13" t="inlineStr">
        <is>
          <t>Janta</t>
        </is>
      </c>
      <c r="C288" s="14" t="n"/>
      <c r="D288" s="14" t="n"/>
      <c r="E288" s="15" t="n"/>
      <c r="F288" s="14" t="n"/>
      <c r="G288" s="15" t="n"/>
      <c r="H288" s="16" t="n"/>
      <c r="I288" s="16" t="n"/>
      <c r="J288" s="16" t="n"/>
      <c r="K288" s="14" t="n"/>
      <c r="L288" s="14" t="n"/>
      <c r="M288" s="15" t="n"/>
    </row>
    <row r="289">
      <c r="A289" s="12">
        <f>'Como usar'!$B$4+INT((ROW()-2)/6)</f>
        <v/>
      </c>
      <c r="B289" s="13" t="inlineStr">
        <is>
          <t>Ceia</t>
        </is>
      </c>
      <c r="C289" s="14" t="n"/>
      <c r="D289" s="14" t="n"/>
      <c r="E289" s="15" t="n"/>
      <c r="F289" s="14" t="n"/>
      <c r="G289" s="15" t="n"/>
      <c r="H289" s="16" t="n"/>
      <c r="I289" s="16" t="n"/>
      <c r="J289" s="16" t="n"/>
      <c r="K289" s="14" t="n"/>
      <c r="L289" s="14" t="n"/>
      <c r="M289" s="15" t="n"/>
    </row>
    <row r="290">
      <c r="A290" s="12">
        <f>'Como usar'!$B$4+INT((ROW()-2)/6)</f>
        <v/>
      </c>
      <c r="B290" s="13" t="inlineStr">
        <is>
          <t>Café da manhã</t>
        </is>
      </c>
      <c r="C290" s="14" t="n"/>
      <c r="D290" s="14" t="n"/>
      <c r="E290" s="15" t="n"/>
      <c r="F290" s="14" t="n"/>
      <c r="G290" s="15" t="n"/>
      <c r="H290" s="16" t="n"/>
      <c r="I290" s="16" t="n"/>
      <c r="J290" s="16" t="n"/>
      <c r="K290" s="14" t="n"/>
      <c r="L290" s="14" t="n"/>
      <c r="M290" s="15" t="n"/>
    </row>
    <row r="291">
      <c r="A291" s="12">
        <f>'Como usar'!$B$4+INT((ROW()-2)/6)</f>
        <v/>
      </c>
      <c r="B291" s="13" t="inlineStr">
        <is>
          <t>Lanche</t>
        </is>
      </c>
      <c r="C291" s="14" t="n"/>
      <c r="D291" s="14" t="n"/>
      <c r="E291" s="15" t="n"/>
      <c r="F291" s="14" t="n"/>
      <c r="G291" s="15" t="n"/>
      <c r="H291" s="16" t="n"/>
      <c r="I291" s="16" t="n"/>
      <c r="J291" s="16" t="n"/>
      <c r="K291" s="14" t="n"/>
      <c r="L291" s="14" t="n"/>
      <c r="M291" s="15" t="n"/>
    </row>
    <row r="292">
      <c r="A292" s="12">
        <f>'Como usar'!$B$4+INT((ROW()-2)/6)</f>
        <v/>
      </c>
      <c r="B292" s="13" t="inlineStr">
        <is>
          <t>Almoço</t>
        </is>
      </c>
      <c r="C292" s="14" t="n"/>
      <c r="D292" s="14" t="n"/>
      <c r="E292" s="15" t="n"/>
      <c r="F292" s="14" t="n"/>
      <c r="G292" s="15" t="n"/>
      <c r="H292" s="16" t="n"/>
      <c r="I292" s="16" t="n"/>
      <c r="J292" s="16" t="n"/>
      <c r="K292" s="14" t="n"/>
      <c r="L292" s="14" t="n"/>
      <c r="M292" s="15" t="n"/>
    </row>
    <row r="293">
      <c r="A293" s="12">
        <f>'Como usar'!$B$4+INT((ROW()-2)/6)</f>
        <v/>
      </c>
      <c r="B293" s="13" t="inlineStr">
        <is>
          <t>Café da tarde</t>
        </is>
      </c>
      <c r="C293" s="14" t="n"/>
      <c r="D293" s="14" t="n"/>
      <c r="E293" s="15" t="n"/>
      <c r="F293" s="14" t="n"/>
      <c r="G293" s="15" t="n"/>
      <c r="H293" s="16" t="n"/>
      <c r="I293" s="16" t="n"/>
      <c r="J293" s="16" t="n"/>
      <c r="K293" s="14" t="n"/>
      <c r="L293" s="14" t="n"/>
      <c r="M293" s="15" t="n"/>
    </row>
    <row r="294">
      <c r="A294" s="12">
        <f>'Como usar'!$B$4+INT((ROW()-2)/6)</f>
        <v/>
      </c>
      <c r="B294" s="13" t="inlineStr">
        <is>
          <t>Janta</t>
        </is>
      </c>
      <c r="C294" s="14" t="n"/>
      <c r="D294" s="14" t="n"/>
      <c r="E294" s="15" t="n"/>
      <c r="F294" s="14" t="n"/>
      <c r="G294" s="15" t="n"/>
      <c r="H294" s="16" t="n"/>
      <c r="I294" s="16" t="n"/>
      <c r="J294" s="16" t="n"/>
      <c r="K294" s="14" t="n"/>
      <c r="L294" s="14" t="n"/>
      <c r="M294" s="15" t="n"/>
    </row>
    <row r="295">
      <c r="A295" s="12">
        <f>'Como usar'!$B$4+INT((ROW()-2)/6)</f>
        <v/>
      </c>
      <c r="B295" s="13" t="inlineStr">
        <is>
          <t>Ceia</t>
        </is>
      </c>
      <c r="C295" s="14" t="n"/>
      <c r="D295" s="14" t="n"/>
      <c r="E295" s="15" t="n"/>
      <c r="F295" s="14" t="n"/>
      <c r="G295" s="15" t="n"/>
      <c r="H295" s="16" t="n"/>
      <c r="I295" s="16" t="n"/>
      <c r="J295" s="16" t="n"/>
      <c r="K295" s="14" t="n"/>
      <c r="L295" s="14" t="n"/>
      <c r="M295" s="15" t="n"/>
    </row>
    <row r="296">
      <c r="A296" s="12">
        <f>'Como usar'!$B$4+INT((ROW()-2)/6)</f>
        <v/>
      </c>
      <c r="B296" s="13" t="inlineStr">
        <is>
          <t>Café da manhã</t>
        </is>
      </c>
      <c r="C296" s="14" t="n"/>
      <c r="D296" s="14" t="n"/>
      <c r="E296" s="15" t="n"/>
      <c r="F296" s="14" t="n"/>
      <c r="G296" s="15" t="n"/>
      <c r="H296" s="16" t="n"/>
      <c r="I296" s="16" t="n"/>
      <c r="J296" s="16" t="n"/>
      <c r="K296" s="14" t="n"/>
      <c r="L296" s="14" t="n"/>
      <c r="M296" s="15" t="n"/>
    </row>
    <row r="297">
      <c r="A297" s="12">
        <f>'Como usar'!$B$4+INT((ROW()-2)/6)</f>
        <v/>
      </c>
      <c r="B297" s="13" t="inlineStr">
        <is>
          <t>Lanche</t>
        </is>
      </c>
      <c r="C297" s="14" t="n"/>
      <c r="D297" s="14" t="n"/>
      <c r="E297" s="15" t="n"/>
      <c r="F297" s="14" t="n"/>
      <c r="G297" s="15" t="n"/>
      <c r="H297" s="16" t="n"/>
      <c r="I297" s="16" t="n"/>
      <c r="J297" s="16" t="n"/>
      <c r="K297" s="14" t="n"/>
      <c r="L297" s="14" t="n"/>
      <c r="M297" s="15" t="n"/>
    </row>
    <row r="298">
      <c r="A298" s="12">
        <f>'Como usar'!$B$4+INT((ROW()-2)/6)</f>
        <v/>
      </c>
      <c r="B298" s="13" t="inlineStr">
        <is>
          <t>Almoço</t>
        </is>
      </c>
      <c r="C298" s="14" t="n"/>
      <c r="D298" s="14" t="n"/>
      <c r="E298" s="15" t="n"/>
      <c r="F298" s="14" t="n"/>
      <c r="G298" s="15" t="n"/>
      <c r="H298" s="16" t="n"/>
      <c r="I298" s="16" t="n"/>
      <c r="J298" s="16" t="n"/>
      <c r="K298" s="14" t="n"/>
      <c r="L298" s="14" t="n"/>
      <c r="M298" s="15" t="n"/>
    </row>
    <row r="299">
      <c r="A299" s="12">
        <f>'Como usar'!$B$4+INT((ROW()-2)/6)</f>
        <v/>
      </c>
      <c r="B299" s="13" t="inlineStr">
        <is>
          <t>Café da tarde</t>
        </is>
      </c>
      <c r="C299" s="14" t="n"/>
      <c r="D299" s="14" t="n"/>
      <c r="E299" s="15" t="n"/>
      <c r="F299" s="14" t="n"/>
      <c r="G299" s="15" t="n"/>
      <c r="H299" s="16" t="n"/>
      <c r="I299" s="16" t="n"/>
      <c r="J299" s="16" t="n"/>
      <c r="K299" s="14" t="n"/>
      <c r="L299" s="14" t="n"/>
      <c r="M299" s="15" t="n"/>
    </row>
    <row r="300">
      <c r="A300" s="12">
        <f>'Como usar'!$B$4+INT((ROW()-2)/6)</f>
        <v/>
      </c>
      <c r="B300" s="13" t="inlineStr">
        <is>
          <t>Janta</t>
        </is>
      </c>
      <c r="C300" s="14" t="n"/>
      <c r="D300" s="14" t="n"/>
      <c r="E300" s="15" t="n"/>
      <c r="F300" s="14" t="n"/>
      <c r="G300" s="15" t="n"/>
      <c r="H300" s="16" t="n"/>
      <c r="I300" s="16" t="n"/>
      <c r="J300" s="16" t="n"/>
      <c r="K300" s="14" t="n"/>
      <c r="L300" s="14" t="n"/>
      <c r="M300" s="15" t="n"/>
    </row>
    <row r="301">
      <c r="A301" s="12">
        <f>'Como usar'!$B$4+INT((ROW()-2)/6)</f>
        <v/>
      </c>
      <c r="B301" s="13" t="inlineStr">
        <is>
          <t>Ceia</t>
        </is>
      </c>
      <c r="C301" s="14" t="n"/>
      <c r="D301" s="14" t="n"/>
      <c r="E301" s="15" t="n"/>
      <c r="F301" s="14" t="n"/>
      <c r="G301" s="15" t="n"/>
      <c r="H301" s="16" t="n"/>
      <c r="I301" s="16" t="n"/>
      <c r="J301" s="16" t="n"/>
      <c r="K301" s="14" t="n"/>
      <c r="L301" s="14" t="n"/>
      <c r="M301" s="15" t="n"/>
    </row>
    <row r="302">
      <c r="A302" s="12">
        <f>'Como usar'!$B$4+INT((ROW()-2)/6)</f>
        <v/>
      </c>
      <c r="B302" s="13" t="inlineStr">
        <is>
          <t>Café da manhã</t>
        </is>
      </c>
      <c r="C302" s="14" t="n"/>
      <c r="D302" s="14" t="n"/>
      <c r="E302" s="15" t="n"/>
      <c r="F302" s="14" t="n"/>
      <c r="G302" s="15" t="n"/>
      <c r="H302" s="16" t="n"/>
      <c r="I302" s="16" t="n"/>
      <c r="J302" s="16" t="n"/>
      <c r="K302" s="14" t="n"/>
      <c r="L302" s="14" t="n"/>
      <c r="M302" s="15" t="n"/>
    </row>
    <row r="303">
      <c r="A303" s="12">
        <f>'Como usar'!$B$4+INT((ROW()-2)/6)</f>
        <v/>
      </c>
      <c r="B303" s="13" t="inlineStr">
        <is>
          <t>Lanche</t>
        </is>
      </c>
      <c r="C303" s="14" t="n"/>
      <c r="D303" s="14" t="n"/>
      <c r="E303" s="15" t="n"/>
      <c r="F303" s="14" t="n"/>
      <c r="G303" s="15" t="n"/>
      <c r="H303" s="16" t="n"/>
      <c r="I303" s="16" t="n"/>
      <c r="J303" s="16" t="n"/>
      <c r="K303" s="14" t="n"/>
      <c r="L303" s="14" t="n"/>
      <c r="M303" s="15" t="n"/>
    </row>
    <row r="304">
      <c r="A304" s="12">
        <f>'Como usar'!$B$4+INT((ROW()-2)/6)</f>
        <v/>
      </c>
      <c r="B304" s="13" t="inlineStr">
        <is>
          <t>Almoço</t>
        </is>
      </c>
      <c r="C304" s="14" t="n"/>
      <c r="D304" s="14" t="n"/>
      <c r="E304" s="15" t="n"/>
      <c r="F304" s="14" t="n"/>
      <c r="G304" s="15" t="n"/>
      <c r="H304" s="16" t="n"/>
      <c r="I304" s="16" t="n"/>
      <c r="J304" s="16" t="n"/>
      <c r="K304" s="14" t="n"/>
      <c r="L304" s="14" t="n"/>
      <c r="M304" s="15" t="n"/>
    </row>
    <row r="305">
      <c r="A305" s="12">
        <f>'Como usar'!$B$4+INT((ROW()-2)/6)</f>
        <v/>
      </c>
      <c r="B305" s="13" t="inlineStr">
        <is>
          <t>Café da tarde</t>
        </is>
      </c>
      <c r="C305" s="14" t="n"/>
      <c r="D305" s="14" t="n"/>
      <c r="E305" s="15" t="n"/>
      <c r="F305" s="14" t="n"/>
      <c r="G305" s="15" t="n"/>
      <c r="H305" s="16" t="n"/>
      <c r="I305" s="16" t="n"/>
      <c r="J305" s="16" t="n"/>
      <c r="K305" s="14" t="n"/>
      <c r="L305" s="14" t="n"/>
      <c r="M305" s="15" t="n"/>
    </row>
    <row r="306">
      <c r="A306" s="12">
        <f>'Como usar'!$B$4+INT((ROW()-2)/6)</f>
        <v/>
      </c>
      <c r="B306" s="13" t="inlineStr">
        <is>
          <t>Janta</t>
        </is>
      </c>
      <c r="C306" s="14" t="n"/>
      <c r="D306" s="14" t="n"/>
      <c r="E306" s="15" t="n"/>
      <c r="F306" s="14" t="n"/>
      <c r="G306" s="15" t="n"/>
      <c r="H306" s="16" t="n"/>
      <c r="I306" s="16" t="n"/>
      <c r="J306" s="16" t="n"/>
      <c r="K306" s="14" t="n"/>
      <c r="L306" s="14" t="n"/>
      <c r="M306" s="15" t="n"/>
    </row>
    <row r="307">
      <c r="A307" s="12">
        <f>'Como usar'!$B$4+INT((ROW()-2)/6)</f>
        <v/>
      </c>
      <c r="B307" s="13" t="inlineStr">
        <is>
          <t>Ceia</t>
        </is>
      </c>
      <c r="C307" s="14" t="n"/>
      <c r="D307" s="14" t="n"/>
      <c r="E307" s="15" t="n"/>
      <c r="F307" s="14" t="n"/>
      <c r="G307" s="15" t="n"/>
      <c r="H307" s="16" t="n"/>
      <c r="I307" s="16" t="n"/>
      <c r="J307" s="16" t="n"/>
      <c r="K307" s="14" t="n"/>
      <c r="L307" s="14" t="n"/>
      <c r="M307" s="15" t="n"/>
    </row>
    <row r="308">
      <c r="A308" s="12">
        <f>'Como usar'!$B$4+INT((ROW()-2)/6)</f>
        <v/>
      </c>
      <c r="B308" s="13" t="inlineStr">
        <is>
          <t>Café da manhã</t>
        </is>
      </c>
      <c r="C308" s="14" t="n"/>
      <c r="D308" s="14" t="n"/>
      <c r="E308" s="15" t="n"/>
      <c r="F308" s="14" t="n"/>
      <c r="G308" s="15" t="n"/>
      <c r="H308" s="16" t="n"/>
      <c r="I308" s="16" t="n"/>
      <c r="J308" s="16" t="n"/>
      <c r="K308" s="14" t="n"/>
      <c r="L308" s="14" t="n"/>
      <c r="M308" s="15" t="n"/>
    </row>
    <row r="309">
      <c r="A309" s="12">
        <f>'Como usar'!$B$4+INT((ROW()-2)/6)</f>
        <v/>
      </c>
      <c r="B309" s="13" t="inlineStr">
        <is>
          <t>Lanche</t>
        </is>
      </c>
      <c r="C309" s="14" t="n"/>
      <c r="D309" s="14" t="n"/>
      <c r="E309" s="15" t="n"/>
      <c r="F309" s="14" t="n"/>
      <c r="G309" s="15" t="n"/>
      <c r="H309" s="16" t="n"/>
      <c r="I309" s="16" t="n"/>
      <c r="J309" s="16" t="n"/>
      <c r="K309" s="14" t="n"/>
      <c r="L309" s="14" t="n"/>
      <c r="M309" s="15" t="n"/>
    </row>
    <row r="310">
      <c r="A310" s="12">
        <f>'Como usar'!$B$4+INT((ROW()-2)/6)</f>
        <v/>
      </c>
      <c r="B310" s="13" t="inlineStr">
        <is>
          <t>Almoço</t>
        </is>
      </c>
      <c r="C310" s="14" t="n"/>
      <c r="D310" s="14" t="n"/>
      <c r="E310" s="15" t="n"/>
      <c r="F310" s="14" t="n"/>
      <c r="G310" s="15" t="n"/>
      <c r="H310" s="16" t="n"/>
      <c r="I310" s="16" t="n"/>
      <c r="J310" s="16" t="n"/>
      <c r="K310" s="14" t="n"/>
      <c r="L310" s="14" t="n"/>
      <c r="M310" s="15" t="n"/>
    </row>
    <row r="311">
      <c r="A311" s="12">
        <f>'Como usar'!$B$4+INT((ROW()-2)/6)</f>
        <v/>
      </c>
      <c r="B311" s="13" t="inlineStr">
        <is>
          <t>Café da tarde</t>
        </is>
      </c>
      <c r="C311" s="14" t="n"/>
      <c r="D311" s="14" t="n"/>
      <c r="E311" s="15" t="n"/>
      <c r="F311" s="14" t="n"/>
      <c r="G311" s="15" t="n"/>
      <c r="H311" s="16" t="n"/>
      <c r="I311" s="16" t="n"/>
      <c r="J311" s="16" t="n"/>
      <c r="K311" s="14" t="n"/>
      <c r="L311" s="14" t="n"/>
      <c r="M311" s="15" t="n"/>
    </row>
    <row r="312">
      <c r="A312" s="12">
        <f>'Como usar'!$B$4+INT((ROW()-2)/6)</f>
        <v/>
      </c>
      <c r="B312" s="13" t="inlineStr">
        <is>
          <t>Janta</t>
        </is>
      </c>
      <c r="C312" s="14" t="n"/>
      <c r="D312" s="14" t="n"/>
      <c r="E312" s="15" t="n"/>
      <c r="F312" s="14" t="n"/>
      <c r="G312" s="15" t="n"/>
      <c r="H312" s="16" t="n"/>
      <c r="I312" s="16" t="n"/>
      <c r="J312" s="16" t="n"/>
      <c r="K312" s="14" t="n"/>
      <c r="L312" s="14" t="n"/>
      <c r="M312" s="15" t="n"/>
    </row>
    <row r="313">
      <c r="A313" s="12">
        <f>'Como usar'!$B$4+INT((ROW()-2)/6)</f>
        <v/>
      </c>
      <c r="B313" s="13" t="inlineStr">
        <is>
          <t>Ceia</t>
        </is>
      </c>
      <c r="C313" s="14" t="n"/>
      <c r="D313" s="14" t="n"/>
      <c r="E313" s="15" t="n"/>
      <c r="F313" s="14" t="n"/>
      <c r="G313" s="15" t="n"/>
      <c r="H313" s="16" t="n"/>
      <c r="I313" s="16" t="n"/>
      <c r="J313" s="16" t="n"/>
      <c r="K313" s="14" t="n"/>
      <c r="L313" s="14" t="n"/>
      <c r="M313" s="15" t="n"/>
    </row>
    <row r="314">
      <c r="A314" s="12">
        <f>'Como usar'!$B$4+INT((ROW()-2)/6)</f>
        <v/>
      </c>
      <c r="B314" s="13" t="inlineStr">
        <is>
          <t>Café da manhã</t>
        </is>
      </c>
      <c r="C314" s="14" t="n"/>
      <c r="D314" s="14" t="n"/>
      <c r="E314" s="15" t="n"/>
      <c r="F314" s="14" t="n"/>
      <c r="G314" s="15" t="n"/>
      <c r="H314" s="16" t="n"/>
      <c r="I314" s="16" t="n"/>
      <c r="J314" s="16" t="n"/>
      <c r="K314" s="14" t="n"/>
      <c r="L314" s="14" t="n"/>
      <c r="M314" s="15" t="n"/>
    </row>
    <row r="315">
      <c r="A315" s="12">
        <f>'Como usar'!$B$4+INT((ROW()-2)/6)</f>
        <v/>
      </c>
      <c r="B315" s="13" t="inlineStr">
        <is>
          <t>Lanche</t>
        </is>
      </c>
      <c r="C315" s="14" t="n"/>
      <c r="D315" s="14" t="n"/>
      <c r="E315" s="15" t="n"/>
      <c r="F315" s="14" t="n"/>
      <c r="G315" s="15" t="n"/>
      <c r="H315" s="16" t="n"/>
      <c r="I315" s="16" t="n"/>
      <c r="J315" s="16" t="n"/>
      <c r="K315" s="14" t="n"/>
      <c r="L315" s="14" t="n"/>
      <c r="M315" s="15" t="n"/>
    </row>
    <row r="316">
      <c r="A316" s="12">
        <f>'Como usar'!$B$4+INT((ROW()-2)/6)</f>
        <v/>
      </c>
      <c r="B316" s="13" t="inlineStr">
        <is>
          <t>Almoço</t>
        </is>
      </c>
      <c r="C316" s="14" t="n"/>
      <c r="D316" s="14" t="n"/>
      <c r="E316" s="15" t="n"/>
      <c r="F316" s="14" t="n"/>
      <c r="G316" s="15" t="n"/>
      <c r="H316" s="16" t="n"/>
      <c r="I316" s="16" t="n"/>
      <c r="J316" s="16" t="n"/>
      <c r="K316" s="14" t="n"/>
      <c r="L316" s="14" t="n"/>
      <c r="M316" s="15" t="n"/>
    </row>
    <row r="317">
      <c r="A317" s="12">
        <f>'Como usar'!$B$4+INT((ROW()-2)/6)</f>
        <v/>
      </c>
      <c r="B317" s="13" t="inlineStr">
        <is>
          <t>Café da tarde</t>
        </is>
      </c>
      <c r="C317" s="14" t="n"/>
      <c r="D317" s="14" t="n"/>
      <c r="E317" s="15" t="n"/>
      <c r="F317" s="14" t="n"/>
      <c r="G317" s="15" t="n"/>
      <c r="H317" s="16" t="n"/>
      <c r="I317" s="16" t="n"/>
      <c r="J317" s="16" t="n"/>
      <c r="K317" s="14" t="n"/>
      <c r="L317" s="14" t="n"/>
      <c r="M317" s="15" t="n"/>
    </row>
    <row r="318">
      <c r="A318" s="12">
        <f>'Como usar'!$B$4+INT((ROW()-2)/6)</f>
        <v/>
      </c>
      <c r="B318" s="13" t="inlineStr">
        <is>
          <t>Janta</t>
        </is>
      </c>
      <c r="C318" s="14" t="n"/>
      <c r="D318" s="14" t="n"/>
      <c r="E318" s="15" t="n"/>
      <c r="F318" s="14" t="n"/>
      <c r="G318" s="15" t="n"/>
      <c r="H318" s="16" t="n"/>
      <c r="I318" s="16" t="n"/>
      <c r="J318" s="16" t="n"/>
      <c r="K318" s="14" t="n"/>
      <c r="L318" s="14" t="n"/>
      <c r="M318" s="15" t="n"/>
    </row>
    <row r="319">
      <c r="A319" s="12">
        <f>'Como usar'!$B$4+INT((ROW()-2)/6)</f>
        <v/>
      </c>
      <c r="B319" s="13" t="inlineStr">
        <is>
          <t>Ceia</t>
        </is>
      </c>
      <c r="C319" s="14" t="n"/>
      <c r="D319" s="14" t="n"/>
      <c r="E319" s="15" t="n"/>
      <c r="F319" s="14" t="n"/>
      <c r="G319" s="15" t="n"/>
      <c r="H319" s="16" t="n"/>
      <c r="I319" s="16" t="n"/>
      <c r="J319" s="16" t="n"/>
      <c r="K319" s="14" t="n"/>
      <c r="L319" s="14" t="n"/>
      <c r="M319" s="15" t="n"/>
    </row>
    <row r="320">
      <c r="A320" s="12">
        <f>'Como usar'!$B$4+INT((ROW()-2)/6)</f>
        <v/>
      </c>
      <c r="B320" s="13" t="inlineStr">
        <is>
          <t>Café da manhã</t>
        </is>
      </c>
      <c r="C320" s="14" t="n"/>
      <c r="D320" s="14" t="n"/>
      <c r="E320" s="15" t="n"/>
      <c r="F320" s="14" t="n"/>
      <c r="G320" s="15" t="n"/>
      <c r="H320" s="16" t="n"/>
      <c r="I320" s="16" t="n"/>
      <c r="J320" s="16" t="n"/>
      <c r="K320" s="14" t="n"/>
      <c r="L320" s="14" t="n"/>
      <c r="M320" s="15" t="n"/>
    </row>
    <row r="321">
      <c r="A321" s="12">
        <f>'Como usar'!$B$4+INT((ROW()-2)/6)</f>
        <v/>
      </c>
      <c r="B321" s="13" t="inlineStr">
        <is>
          <t>Lanche</t>
        </is>
      </c>
      <c r="C321" s="14" t="n"/>
      <c r="D321" s="14" t="n"/>
      <c r="E321" s="15" t="n"/>
      <c r="F321" s="14" t="n"/>
      <c r="G321" s="15" t="n"/>
      <c r="H321" s="16" t="n"/>
      <c r="I321" s="16" t="n"/>
      <c r="J321" s="16" t="n"/>
      <c r="K321" s="14" t="n"/>
      <c r="L321" s="14" t="n"/>
      <c r="M321" s="15" t="n"/>
    </row>
    <row r="322">
      <c r="A322" s="12">
        <f>'Como usar'!$B$4+INT((ROW()-2)/6)</f>
        <v/>
      </c>
      <c r="B322" s="13" t="inlineStr">
        <is>
          <t>Almoço</t>
        </is>
      </c>
      <c r="C322" s="14" t="n"/>
      <c r="D322" s="14" t="n"/>
      <c r="E322" s="15" t="n"/>
      <c r="F322" s="14" t="n"/>
      <c r="G322" s="15" t="n"/>
      <c r="H322" s="16" t="n"/>
      <c r="I322" s="16" t="n"/>
      <c r="J322" s="16" t="n"/>
      <c r="K322" s="14" t="n"/>
      <c r="L322" s="14" t="n"/>
      <c r="M322" s="15" t="n"/>
    </row>
    <row r="323">
      <c r="A323" s="12">
        <f>'Como usar'!$B$4+INT((ROW()-2)/6)</f>
        <v/>
      </c>
      <c r="B323" s="13" t="inlineStr">
        <is>
          <t>Café da tarde</t>
        </is>
      </c>
      <c r="C323" s="14" t="n"/>
      <c r="D323" s="14" t="n"/>
      <c r="E323" s="15" t="n"/>
      <c r="F323" s="14" t="n"/>
      <c r="G323" s="15" t="n"/>
      <c r="H323" s="16" t="n"/>
      <c r="I323" s="16" t="n"/>
      <c r="J323" s="16" t="n"/>
      <c r="K323" s="14" t="n"/>
      <c r="L323" s="14" t="n"/>
      <c r="M323" s="15" t="n"/>
    </row>
    <row r="324">
      <c r="A324" s="12">
        <f>'Como usar'!$B$4+INT((ROW()-2)/6)</f>
        <v/>
      </c>
      <c r="B324" s="13" t="inlineStr">
        <is>
          <t>Janta</t>
        </is>
      </c>
      <c r="C324" s="14" t="n"/>
      <c r="D324" s="14" t="n"/>
      <c r="E324" s="15" t="n"/>
      <c r="F324" s="14" t="n"/>
      <c r="G324" s="15" t="n"/>
      <c r="H324" s="16" t="n"/>
      <c r="I324" s="16" t="n"/>
      <c r="J324" s="16" t="n"/>
      <c r="K324" s="14" t="n"/>
      <c r="L324" s="14" t="n"/>
      <c r="M324" s="15" t="n"/>
    </row>
    <row r="325">
      <c r="A325" s="12">
        <f>'Como usar'!$B$4+INT((ROW()-2)/6)</f>
        <v/>
      </c>
      <c r="B325" s="13" t="inlineStr">
        <is>
          <t>Ceia</t>
        </is>
      </c>
      <c r="C325" s="14" t="n"/>
      <c r="D325" s="14" t="n"/>
      <c r="E325" s="15" t="n"/>
      <c r="F325" s="14" t="n"/>
      <c r="G325" s="15" t="n"/>
      <c r="H325" s="16" t="n"/>
      <c r="I325" s="16" t="n"/>
      <c r="J325" s="16" t="n"/>
      <c r="K325" s="14" t="n"/>
      <c r="L325" s="14" t="n"/>
      <c r="M325" s="15" t="n"/>
    </row>
    <row r="326">
      <c r="A326" s="12">
        <f>'Como usar'!$B$4+INT((ROW()-2)/6)</f>
        <v/>
      </c>
      <c r="B326" s="13" t="inlineStr">
        <is>
          <t>Café da manhã</t>
        </is>
      </c>
      <c r="C326" s="14" t="n"/>
      <c r="D326" s="14" t="n"/>
      <c r="E326" s="15" t="n"/>
      <c r="F326" s="14" t="n"/>
      <c r="G326" s="15" t="n"/>
      <c r="H326" s="16" t="n"/>
      <c r="I326" s="16" t="n"/>
      <c r="J326" s="16" t="n"/>
      <c r="K326" s="14" t="n"/>
      <c r="L326" s="14" t="n"/>
      <c r="M326" s="15" t="n"/>
    </row>
    <row r="327">
      <c r="A327" s="12">
        <f>'Como usar'!$B$4+INT((ROW()-2)/6)</f>
        <v/>
      </c>
      <c r="B327" s="13" t="inlineStr">
        <is>
          <t>Lanche</t>
        </is>
      </c>
      <c r="C327" s="14" t="n"/>
      <c r="D327" s="14" t="n"/>
      <c r="E327" s="15" t="n"/>
      <c r="F327" s="14" t="n"/>
      <c r="G327" s="15" t="n"/>
      <c r="H327" s="16" t="n"/>
      <c r="I327" s="16" t="n"/>
      <c r="J327" s="16" t="n"/>
      <c r="K327" s="14" t="n"/>
      <c r="L327" s="14" t="n"/>
      <c r="M327" s="15" t="n"/>
    </row>
    <row r="328">
      <c r="A328" s="12">
        <f>'Como usar'!$B$4+INT((ROW()-2)/6)</f>
        <v/>
      </c>
      <c r="B328" s="13" t="inlineStr">
        <is>
          <t>Almoço</t>
        </is>
      </c>
      <c r="C328" s="14" t="n"/>
      <c r="D328" s="14" t="n"/>
      <c r="E328" s="15" t="n"/>
      <c r="F328" s="14" t="n"/>
      <c r="G328" s="15" t="n"/>
      <c r="H328" s="16" t="n"/>
      <c r="I328" s="16" t="n"/>
      <c r="J328" s="16" t="n"/>
      <c r="K328" s="14" t="n"/>
      <c r="L328" s="14" t="n"/>
      <c r="M328" s="15" t="n"/>
    </row>
    <row r="329">
      <c r="A329" s="12">
        <f>'Como usar'!$B$4+INT((ROW()-2)/6)</f>
        <v/>
      </c>
      <c r="B329" s="13" t="inlineStr">
        <is>
          <t>Café da tarde</t>
        </is>
      </c>
      <c r="C329" s="14" t="n"/>
      <c r="D329" s="14" t="n"/>
      <c r="E329" s="15" t="n"/>
      <c r="F329" s="14" t="n"/>
      <c r="G329" s="15" t="n"/>
      <c r="H329" s="16" t="n"/>
      <c r="I329" s="16" t="n"/>
      <c r="J329" s="16" t="n"/>
      <c r="K329" s="14" t="n"/>
      <c r="L329" s="14" t="n"/>
      <c r="M329" s="15" t="n"/>
    </row>
    <row r="330">
      <c r="A330" s="12">
        <f>'Como usar'!$B$4+INT((ROW()-2)/6)</f>
        <v/>
      </c>
      <c r="B330" s="13" t="inlineStr">
        <is>
          <t>Janta</t>
        </is>
      </c>
      <c r="C330" s="14" t="n"/>
      <c r="D330" s="14" t="n"/>
      <c r="E330" s="15" t="n"/>
      <c r="F330" s="14" t="n"/>
      <c r="G330" s="15" t="n"/>
      <c r="H330" s="16" t="n"/>
      <c r="I330" s="16" t="n"/>
      <c r="J330" s="16" t="n"/>
      <c r="K330" s="14" t="n"/>
      <c r="L330" s="14" t="n"/>
      <c r="M330" s="15" t="n"/>
    </row>
    <row r="331">
      <c r="A331" s="12">
        <f>'Como usar'!$B$4+INT((ROW()-2)/6)</f>
        <v/>
      </c>
      <c r="B331" s="13" t="inlineStr">
        <is>
          <t>Ceia</t>
        </is>
      </c>
      <c r="C331" s="14" t="n"/>
      <c r="D331" s="14" t="n"/>
      <c r="E331" s="15" t="n"/>
      <c r="F331" s="14" t="n"/>
      <c r="G331" s="15" t="n"/>
      <c r="H331" s="16" t="n"/>
      <c r="I331" s="16" t="n"/>
      <c r="J331" s="16" t="n"/>
      <c r="K331" s="14" t="n"/>
      <c r="L331" s="14" t="n"/>
      <c r="M331" s="15" t="n"/>
    </row>
    <row r="332">
      <c r="A332" s="12">
        <f>'Como usar'!$B$4+INT((ROW()-2)/6)</f>
        <v/>
      </c>
      <c r="B332" s="13" t="inlineStr">
        <is>
          <t>Café da manhã</t>
        </is>
      </c>
      <c r="C332" s="14" t="n"/>
      <c r="D332" s="14" t="n"/>
      <c r="E332" s="15" t="n"/>
      <c r="F332" s="14" t="n"/>
      <c r="G332" s="15" t="n"/>
      <c r="H332" s="16" t="n"/>
      <c r="I332" s="16" t="n"/>
      <c r="J332" s="16" t="n"/>
      <c r="K332" s="14" t="n"/>
      <c r="L332" s="14" t="n"/>
      <c r="M332" s="15" t="n"/>
    </row>
    <row r="333">
      <c r="A333" s="12">
        <f>'Como usar'!$B$4+INT((ROW()-2)/6)</f>
        <v/>
      </c>
      <c r="B333" s="13" t="inlineStr">
        <is>
          <t>Lanche</t>
        </is>
      </c>
      <c r="C333" s="14" t="n"/>
      <c r="D333" s="14" t="n"/>
      <c r="E333" s="15" t="n"/>
      <c r="F333" s="14" t="n"/>
      <c r="G333" s="15" t="n"/>
      <c r="H333" s="16" t="n"/>
      <c r="I333" s="16" t="n"/>
      <c r="J333" s="16" t="n"/>
      <c r="K333" s="14" t="n"/>
      <c r="L333" s="14" t="n"/>
      <c r="M333" s="15" t="n"/>
    </row>
    <row r="334">
      <c r="A334" s="12">
        <f>'Como usar'!$B$4+INT((ROW()-2)/6)</f>
        <v/>
      </c>
      <c r="B334" s="13" t="inlineStr">
        <is>
          <t>Almoço</t>
        </is>
      </c>
      <c r="C334" s="14" t="n"/>
      <c r="D334" s="14" t="n"/>
      <c r="E334" s="15" t="n"/>
      <c r="F334" s="14" t="n"/>
      <c r="G334" s="15" t="n"/>
      <c r="H334" s="16" t="n"/>
      <c r="I334" s="16" t="n"/>
      <c r="J334" s="16" t="n"/>
      <c r="K334" s="14" t="n"/>
      <c r="L334" s="14" t="n"/>
      <c r="M334" s="15" t="n"/>
    </row>
    <row r="335">
      <c r="A335" s="12">
        <f>'Como usar'!$B$4+INT((ROW()-2)/6)</f>
        <v/>
      </c>
      <c r="B335" s="13" t="inlineStr">
        <is>
          <t>Café da tarde</t>
        </is>
      </c>
      <c r="C335" s="14" t="n"/>
      <c r="D335" s="14" t="n"/>
      <c r="E335" s="15" t="n"/>
      <c r="F335" s="14" t="n"/>
      <c r="G335" s="15" t="n"/>
      <c r="H335" s="16" t="n"/>
      <c r="I335" s="16" t="n"/>
      <c r="J335" s="16" t="n"/>
      <c r="K335" s="14" t="n"/>
      <c r="L335" s="14" t="n"/>
      <c r="M335" s="15" t="n"/>
    </row>
    <row r="336">
      <c r="A336" s="12">
        <f>'Como usar'!$B$4+INT((ROW()-2)/6)</f>
        <v/>
      </c>
      <c r="B336" s="13" t="inlineStr">
        <is>
          <t>Janta</t>
        </is>
      </c>
      <c r="C336" s="14" t="n"/>
      <c r="D336" s="14" t="n"/>
      <c r="E336" s="15" t="n"/>
      <c r="F336" s="14" t="n"/>
      <c r="G336" s="15" t="n"/>
      <c r="H336" s="16" t="n"/>
      <c r="I336" s="16" t="n"/>
      <c r="J336" s="16" t="n"/>
      <c r="K336" s="14" t="n"/>
      <c r="L336" s="14" t="n"/>
      <c r="M336" s="15" t="n"/>
    </row>
    <row r="337">
      <c r="A337" s="12">
        <f>'Como usar'!$B$4+INT((ROW()-2)/6)</f>
        <v/>
      </c>
      <c r="B337" s="13" t="inlineStr">
        <is>
          <t>Ceia</t>
        </is>
      </c>
      <c r="C337" s="14" t="n"/>
      <c r="D337" s="14" t="n"/>
      <c r="E337" s="15" t="n"/>
      <c r="F337" s="14" t="n"/>
      <c r="G337" s="15" t="n"/>
      <c r="H337" s="16" t="n"/>
      <c r="I337" s="16" t="n"/>
      <c r="J337" s="16" t="n"/>
      <c r="K337" s="14" t="n"/>
      <c r="L337" s="14" t="n"/>
      <c r="M337" s="15" t="n"/>
    </row>
    <row r="338">
      <c r="A338" s="12">
        <f>'Como usar'!$B$4+INT((ROW()-2)/6)</f>
        <v/>
      </c>
      <c r="B338" s="13" t="inlineStr">
        <is>
          <t>Café da manhã</t>
        </is>
      </c>
      <c r="C338" s="14" t="n"/>
      <c r="D338" s="14" t="n"/>
      <c r="E338" s="15" t="n"/>
      <c r="F338" s="14" t="n"/>
      <c r="G338" s="15" t="n"/>
      <c r="H338" s="16" t="n"/>
      <c r="I338" s="16" t="n"/>
      <c r="J338" s="16" t="n"/>
      <c r="K338" s="14" t="n"/>
      <c r="L338" s="14" t="n"/>
      <c r="M338" s="15" t="n"/>
    </row>
    <row r="339">
      <c r="A339" s="12">
        <f>'Como usar'!$B$4+INT((ROW()-2)/6)</f>
        <v/>
      </c>
      <c r="B339" s="13" t="inlineStr">
        <is>
          <t>Lanche</t>
        </is>
      </c>
      <c r="C339" s="14" t="n"/>
      <c r="D339" s="14" t="n"/>
      <c r="E339" s="15" t="n"/>
      <c r="F339" s="14" t="n"/>
      <c r="G339" s="15" t="n"/>
      <c r="H339" s="16" t="n"/>
      <c r="I339" s="16" t="n"/>
      <c r="J339" s="16" t="n"/>
      <c r="K339" s="14" t="n"/>
      <c r="L339" s="14" t="n"/>
      <c r="M339" s="15" t="n"/>
    </row>
    <row r="340">
      <c r="A340" s="12">
        <f>'Como usar'!$B$4+INT((ROW()-2)/6)</f>
        <v/>
      </c>
      <c r="B340" s="13" t="inlineStr">
        <is>
          <t>Almoço</t>
        </is>
      </c>
      <c r="C340" s="14" t="n"/>
      <c r="D340" s="14" t="n"/>
      <c r="E340" s="15" t="n"/>
      <c r="F340" s="14" t="n"/>
      <c r="G340" s="15" t="n"/>
      <c r="H340" s="16" t="n"/>
      <c r="I340" s="16" t="n"/>
      <c r="J340" s="16" t="n"/>
      <c r="K340" s="14" t="n"/>
      <c r="L340" s="14" t="n"/>
      <c r="M340" s="15" t="n"/>
    </row>
    <row r="341">
      <c r="A341" s="12">
        <f>'Como usar'!$B$4+INT((ROW()-2)/6)</f>
        <v/>
      </c>
      <c r="B341" s="13" t="inlineStr">
        <is>
          <t>Café da tarde</t>
        </is>
      </c>
      <c r="C341" s="14" t="n"/>
      <c r="D341" s="14" t="n"/>
      <c r="E341" s="15" t="n"/>
      <c r="F341" s="14" t="n"/>
      <c r="G341" s="15" t="n"/>
      <c r="H341" s="16" t="n"/>
      <c r="I341" s="16" t="n"/>
      <c r="J341" s="16" t="n"/>
      <c r="K341" s="14" t="n"/>
      <c r="L341" s="14" t="n"/>
      <c r="M341" s="15" t="n"/>
    </row>
    <row r="342">
      <c r="A342" s="12">
        <f>'Como usar'!$B$4+INT((ROW()-2)/6)</f>
        <v/>
      </c>
      <c r="B342" s="13" t="inlineStr">
        <is>
          <t>Janta</t>
        </is>
      </c>
      <c r="C342" s="14" t="n"/>
      <c r="D342" s="14" t="n"/>
      <c r="E342" s="15" t="n"/>
      <c r="F342" s="14" t="n"/>
      <c r="G342" s="15" t="n"/>
      <c r="H342" s="16" t="n"/>
      <c r="I342" s="16" t="n"/>
      <c r="J342" s="16" t="n"/>
      <c r="K342" s="14" t="n"/>
      <c r="L342" s="14" t="n"/>
      <c r="M342" s="15" t="n"/>
    </row>
    <row r="343">
      <c r="A343" s="12">
        <f>'Como usar'!$B$4+INT((ROW()-2)/6)</f>
        <v/>
      </c>
      <c r="B343" s="13" t="inlineStr">
        <is>
          <t>Ceia</t>
        </is>
      </c>
      <c r="C343" s="14" t="n"/>
      <c r="D343" s="14" t="n"/>
      <c r="E343" s="15" t="n"/>
      <c r="F343" s="14" t="n"/>
      <c r="G343" s="15" t="n"/>
      <c r="H343" s="16" t="n"/>
      <c r="I343" s="16" t="n"/>
      <c r="J343" s="16" t="n"/>
      <c r="K343" s="14" t="n"/>
      <c r="L343" s="14" t="n"/>
      <c r="M343" s="15" t="n"/>
    </row>
    <row r="344">
      <c r="A344" s="12">
        <f>'Como usar'!$B$4+INT((ROW()-2)/6)</f>
        <v/>
      </c>
      <c r="B344" s="13" t="inlineStr">
        <is>
          <t>Café da manhã</t>
        </is>
      </c>
      <c r="C344" s="14" t="n"/>
      <c r="D344" s="14" t="n"/>
      <c r="E344" s="15" t="n"/>
      <c r="F344" s="14" t="n"/>
      <c r="G344" s="15" t="n"/>
      <c r="H344" s="16" t="n"/>
      <c r="I344" s="16" t="n"/>
      <c r="J344" s="16" t="n"/>
      <c r="K344" s="14" t="n"/>
      <c r="L344" s="14" t="n"/>
      <c r="M344" s="15" t="n"/>
    </row>
    <row r="345">
      <c r="A345" s="12">
        <f>'Como usar'!$B$4+INT((ROW()-2)/6)</f>
        <v/>
      </c>
      <c r="B345" s="13" t="inlineStr">
        <is>
          <t>Lanche</t>
        </is>
      </c>
      <c r="C345" s="14" t="n"/>
      <c r="D345" s="14" t="n"/>
      <c r="E345" s="15" t="n"/>
      <c r="F345" s="14" t="n"/>
      <c r="G345" s="15" t="n"/>
      <c r="H345" s="16" t="n"/>
      <c r="I345" s="16" t="n"/>
      <c r="J345" s="16" t="n"/>
      <c r="K345" s="14" t="n"/>
      <c r="L345" s="14" t="n"/>
      <c r="M345" s="15" t="n"/>
    </row>
    <row r="346">
      <c r="A346" s="12">
        <f>'Como usar'!$B$4+INT((ROW()-2)/6)</f>
        <v/>
      </c>
      <c r="B346" s="13" t="inlineStr">
        <is>
          <t>Almoço</t>
        </is>
      </c>
      <c r="C346" s="14" t="n"/>
      <c r="D346" s="14" t="n"/>
      <c r="E346" s="15" t="n"/>
      <c r="F346" s="14" t="n"/>
      <c r="G346" s="15" t="n"/>
      <c r="H346" s="16" t="n"/>
      <c r="I346" s="16" t="n"/>
      <c r="J346" s="16" t="n"/>
      <c r="K346" s="14" t="n"/>
      <c r="L346" s="14" t="n"/>
      <c r="M346" s="15" t="n"/>
    </row>
    <row r="347">
      <c r="A347" s="12">
        <f>'Como usar'!$B$4+INT((ROW()-2)/6)</f>
        <v/>
      </c>
      <c r="B347" s="13" t="inlineStr">
        <is>
          <t>Café da tarde</t>
        </is>
      </c>
      <c r="C347" s="14" t="n"/>
      <c r="D347" s="14" t="n"/>
      <c r="E347" s="15" t="n"/>
      <c r="F347" s="14" t="n"/>
      <c r="G347" s="15" t="n"/>
      <c r="H347" s="16" t="n"/>
      <c r="I347" s="16" t="n"/>
      <c r="J347" s="16" t="n"/>
      <c r="K347" s="14" t="n"/>
      <c r="L347" s="14" t="n"/>
      <c r="M347" s="15" t="n"/>
    </row>
    <row r="348">
      <c r="A348" s="12">
        <f>'Como usar'!$B$4+INT((ROW()-2)/6)</f>
        <v/>
      </c>
      <c r="B348" s="13" t="inlineStr">
        <is>
          <t>Janta</t>
        </is>
      </c>
      <c r="C348" s="14" t="n"/>
      <c r="D348" s="14" t="n"/>
      <c r="E348" s="15" t="n"/>
      <c r="F348" s="14" t="n"/>
      <c r="G348" s="15" t="n"/>
      <c r="H348" s="16" t="n"/>
      <c r="I348" s="16" t="n"/>
      <c r="J348" s="16" t="n"/>
      <c r="K348" s="14" t="n"/>
      <c r="L348" s="14" t="n"/>
      <c r="M348" s="15" t="n"/>
    </row>
    <row r="349">
      <c r="A349" s="12">
        <f>'Como usar'!$B$4+INT((ROW()-2)/6)</f>
        <v/>
      </c>
      <c r="B349" s="13" t="inlineStr">
        <is>
          <t>Ceia</t>
        </is>
      </c>
      <c r="C349" s="14" t="n"/>
      <c r="D349" s="14" t="n"/>
      <c r="E349" s="15" t="n"/>
      <c r="F349" s="14" t="n"/>
      <c r="G349" s="15" t="n"/>
      <c r="H349" s="16" t="n"/>
      <c r="I349" s="16" t="n"/>
      <c r="J349" s="16" t="n"/>
      <c r="K349" s="14" t="n"/>
      <c r="L349" s="14" t="n"/>
      <c r="M349" s="15" t="n"/>
    </row>
    <row r="350">
      <c r="A350" s="12">
        <f>'Como usar'!$B$4+INT((ROW()-2)/6)</f>
        <v/>
      </c>
      <c r="B350" s="13" t="inlineStr">
        <is>
          <t>Café da manhã</t>
        </is>
      </c>
      <c r="C350" s="14" t="n"/>
      <c r="D350" s="14" t="n"/>
      <c r="E350" s="15" t="n"/>
      <c r="F350" s="14" t="n"/>
      <c r="G350" s="15" t="n"/>
      <c r="H350" s="16" t="n"/>
      <c r="I350" s="16" t="n"/>
      <c r="J350" s="16" t="n"/>
      <c r="K350" s="14" t="n"/>
      <c r="L350" s="14" t="n"/>
      <c r="M350" s="15" t="n"/>
    </row>
    <row r="351">
      <c r="A351" s="12">
        <f>'Como usar'!$B$4+INT((ROW()-2)/6)</f>
        <v/>
      </c>
      <c r="B351" s="13" t="inlineStr">
        <is>
          <t>Lanche</t>
        </is>
      </c>
      <c r="C351" s="14" t="n"/>
      <c r="D351" s="14" t="n"/>
      <c r="E351" s="15" t="n"/>
      <c r="F351" s="14" t="n"/>
      <c r="G351" s="15" t="n"/>
      <c r="H351" s="16" t="n"/>
      <c r="I351" s="16" t="n"/>
      <c r="J351" s="16" t="n"/>
      <c r="K351" s="14" t="n"/>
      <c r="L351" s="14" t="n"/>
      <c r="M351" s="15" t="n"/>
    </row>
    <row r="352">
      <c r="A352" s="12">
        <f>'Como usar'!$B$4+INT((ROW()-2)/6)</f>
        <v/>
      </c>
      <c r="B352" s="13" t="inlineStr">
        <is>
          <t>Almoço</t>
        </is>
      </c>
      <c r="C352" s="14" t="n"/>
      <c r="D352" s="14" t="n"/>
      <c r="E352" s="15" t="n"/>
      <c r="F352" s="14" t="n"/>
      <c r="G352" s="15" t="n"/>
      <c r="H352" s="16" t="n"/>
      <c r="I352" s="16" t="n"/>
      <c r="J352" s="16" t="n"/>
      <c r="K352" s="14" t="n"/>
      <c r="L352" s="14" t="n"/>
      <c r="M352" s="15" t="n"/>
    </row>
    <row r="353">
      <c r="A353" s="12">
        <f>'Como usar'!$B$4+INT((ROW()-2)/6)</f>
        <v/>
      </c>
      <c r="B353" s="13" t="inlineStr">
        <is>
          <t>Café da tarde</t>
        </is>
      </c>
      <c r="C353" s="14" t="n"/>
      <c r="D353" s="14" t="n"/>
      <c r="E353" s="15" t="n"/>
      <c r="F353" s="14" t="n"/>
      <c r="G353" s="15" t="n"/>
      <c r="H353" s="16" t="n"/>
      <c r="I353" s="16" t="n"/>
      <c r="J353" s="16" t="n"/>
      <c r="K353" s="14" t="n"/>
      <c r="L353" s="14" t="n"/>
      <c r="M353" s="15" t="n"/>
    </row>
    <row r="354">
      <c r="A354" s="12">
        <f>'Como usar'!$B$4+INT((ROW()-2)/6)</f>
        <v/>
      </c>
      <c r="B354" s="13" t="inlineStr">
        <is>
          <t>Janta</t>
        </is>
      </c>
      <c r="C354" s="14" t="n"/>
      <c r="D354" s="14" t="n"/>
      <c r="E354" s="15" t="n"/>
      <c r="F354" s="14" t="n"/>
      <c r="G354" s="15" t="n"/>
      <c r="H354" s="16" t="n"/>
      <c r="I354" s="16" t="n"/>
      <c r="J354" s="16" t="n"/>
      <c r="K354" s="14" t="n"/>
      <c r="L354" s="14" t="n"/>
      <c r="M354" s="15" t="n"/>
    </row>
    <row r="355">
      <c r="A355" s="12">
        <f>'Como usar'!$B$4+INT((ROW()-2)/6)</f>
        <v/>
      </c>
      <c r="B355" s="13" t="inlineStr">
        <is>
          <t>Ceia</t>
        </is>
      </c>
      <c r="C355" s="14" t="n"/>
      <c r="D355" s="14" t="n"/>
      <c r="E355" s="15" t="n"/>
      <c r="F355" s="14" t="n"/>
      <c r="G355" s="15" t="n"/>
      <c r="H355" s="16" t="n"/>
      <c r="I355" s="16" t="n"/>
      <c r="J355" s="16" t="n"/>
      <c r="K355" s="14" t="n"/>
      <c r="L355" s="14" t="n"/>
      <c r="M355" s="15" t="n"/>
    </row>
    <row r="356">
      <c r="A356" s="12">
        <f>'Como usar'!$B$4+INT((ROW()-2)/6)</f>
        <v/>
      </c>
      <c r="B356" s="13" t="inlineStr">
        <is>
          <t>Café da manhã</t>
        </is>
      </c>
      <c r="C356" s="14" t="n"/>
      <c r="D356" s="14" t="n"/>
      <c r="E356" s="15" t="n"/>
      <c r="F356" s="14" t="n"/>
      <c r="G356" s="15" t="n"/>
      <c r="H356" s="16" t="n"/>
      <c r="I356" s="16" t="n"/>
      <c r="J356" s="16" t="n"/>
      <c r="K356" s="14" t="n"/>
      <c r="L356" s="14" t="n"/>
      <c r="M356" s="15" t="n"/>
    </row>
    <row r="357">
      <c r="A357" s="12">
        <f>'Como usar'!$B$4+INT((ROW()-2)/6)</f>
        <v/>
      </c>
      <c r="B357" s="13" t="inlineStr">
        <is>
          <t>Lanche</t>
        </is>
      </c>
      <c r="C357" s="14" t="n"/>
      <c r="D357" s="14" t="n"/>
      <c r="E357" s="15" t="n"/>
      <c r="F357" s="14" t="n"/>
      <c r="G357" s="15" t="n"/>
      <c r="H357" s="16" t="n"/>
      <c r="I357" s="16" t="n"/>
      <c r="J357" s="16" t="n"/>
      <c r="K357" s="14" t="n"/>
      <c r="L357" s="14" t="n"/>
      <c r="M357" s="15" t="n"/>
    </row>
    <row r="358">
      <c r="A358" s="12">
        <f>'Como usar'!$B$4+INT((ROW()-2)/6)</f>
        <v/>
      </c>
      <c r="B358" s="13" t="inlineStr">
        <is>
          <t>Almoço</t>
        </is>
      </c>
      <c r="C358" s="14" t="n"/>
      <c r="D358" s="14" t="n"/>
      <c r="E358" s="15" t="n"/>
      <c r="F358" s="14" t="n"/>
      <c r="G358" s="15" t="n"/>
      <c r="H358" s="16" t="n"/>
      <c r="I358" s="16" t="n"/>
      <c r="J358" s="16" t="n"/>
      <c r="K358" s="14" t="n"/>
      <c r="L358" s="14" t="n"/>
      <c r="M358" s="15" t="n"/>
    </row>
    <row r="359">
      <c r="A359" s="12">
        <f>'Como usar'!$B$4+INT((ROW()-2)/6)</f>
        <v/>
      </c>
      <c r="B359" s="13" t="inlineStr">
        <is>
          <t>Café da tarde</t>
        </is>
      </c>
      <c r="C359" s="14" t="n"/>
      <c r="D359" s="14" t="n"/>
      <c r="E359" s="15" t="n"/>
      <c r="F359" s="14" t="n"/>
      <c r="G359" s="15" t="n"/>
      <c r="H359" s="16" t="n"/>
      <c r="I359" s="16" t="n"/>
      <c r="J359" s="16" t="n"/>
      <c r="K359" s="14" t="n"/>
      <c r="L359" s="14" t="n"/>
      <c r="M359" s="15" t="n"/>
    </row>
    <row r="360">
      <c r="A360" s="12">
        <f>'Como usar'!$B$4+INT((ROW()-2)/6)</f>
        <v/>
      </c>
      <c r="B360" s="13" t="inlineStr">
        <is>
          <t>Janta</t>
        </is>
      </c>
      <c r="C360" s="14" t="n"/>
      <c r="D360" s="14" t="n"/>
      <c r="E360" s="15" t="n"/>
      <c r="F360" s="14" t="n"/>
      <c r="G360" s="15" t="n"/>
      <c r="H360" s="16" t="n"/>
      <c r="I360" s="16" t="n"/>
      <c r="J360" s="16" t="n"/>
      <c r="K360" s="14" t="n"/>
      <c r="L360" s="14" t="n"/>
      <c r="M360" s="15" t="n"/>
    </row>
    <row r="361">
      <c r="A361" s="12">
        <f>'Como usar'!$B$4+INT((ROW()-2)/6)</f>
        <v/>
      </c>
      <c r="B361" s="13" t="inlineStr">
        <is>
          <t>Ceia</t>
        </is>
      </c>
      <c r="C361" s="14" t="n"/>
      <c r="D361" s="14" t="n"/>
      <c r="E361" s="15" t="n"/>
      <c r="F361" s="14" t="n"/>
      <c r="G361" s="15" t="n"/>
      <c r="H361" s="16" t="n"/>
      <c r="I361" s="16" t="n"/>
      <c r="J361" s="16" t="n"/>
      <c r="K361" s="14" t="n"/>
      <c r="L361" s="14" t="n"/>
      <c r="M361" s="15" t="n"/>
    </row>
    <row r="362">
      <c r="A362" s="12">
        <f>'Como usar'!$B$4+INT((ROW()-2)/6)</f>
        <v/>
      </c>
      <c r="B362" s="13" t="inlineStr">
        <is>
          <t>Café da manhã</t>
        </is>
      </c>
      <c r="C362" s="14" t="n"/>
      <c r="D362" s="14" t="n"/>
      <c r="E362" s="15" t="n"/>
      <c r="F362" s="14" t="n"/>
      <c r="G362" s="15" t="n"/>
      <c r="H362" s="16" t="n"/>
      <c r="I362" s="16" t="n"/>
      <c r="J362" s="16" t="n"/>
      <c r="K362" s="14" t="n"/>
      <c r="L362" s="14" t="n"/>
      <c r="M362" s="15" t="n"/>
    </row>
    <row r="363">
      <c r="A363" s="12">
        <f>'Como usar'!$B$4+INT((ROW()-2)/6)</f>
        <v/>
      </c>
      <c r="B363" s="13" t="inlineStr">
        <is>
          <t>Lanche</t>
        </is>
      </c>
      <c r="C363" s="14" t="n"/>
      <c r="D363" s="14" t="n"/>
      <c r="E363" s="15" t="n"/>
      <c r="F363" s="14" t="n"/>
      <c r="G363" s="15" t="n"/>
      <c r="H363" s="16" t="n"/>
      <c r="I363" s="16" t="n"/>
      <c r="J363" s="16" t="n"/>
      <c r="K363" s="14" t="n"/>
      <c r="L363" s="14" t="n"/>
      <c r="M363" s="15" t="n"/>
    </row>
    <row r="364">
      <c r="A364" s="12">
        <f>'Como usar'!$B$4+INT((ROW()-2)/6)</f>
        <v/>
      </c>
      <c r="B364" s="13" t="inlineStr">
        <is>
          <t>Almoço</t>
        </is>
      </c>
      <c r="C364" s="14" t="n"/>
      <c r="D364" s="14" t="n"/>
      <c r="E364" s="15" t="n"/>
      <c r="F364" s="14" t="n"/>
      <c r="G364" s="15" t="n"/>
      <c r="H364" s="16" t="n"/>
      <c r="I364" s="16" t="n"/>
      <c r="J364" s="16" t="n"/>
      <c r="K364" s="14" t="n"/>
      <c r="L364" s="14" t="n"/>
      <c r="M364" s="15" t="n"/>
    </row>
    <row r="365">
      <c r="A365" s="12">
        <f>'Como usar'!$B$4+INT((ROW()-2)/6)</f>
        <v/>
      </c>
      <c r="B365" s="13" t="inlineStr">
        <is>
          <t>Café da tarde</t>
        </is>
      </c>
      <c r="C365" s="14" t="n"/>
      <c r="D365" s="14" t="n"/>
      <c r="E365" s="15" t="n"/>
      <c r="F365" s="14" t="n"/>
      <c r="G365" s="15" t="n"/>
      <c r="H365" s="16" t="n"/>
      <c r="I365" s="16" t="n"/>
      <c r="J365" s="16" t="n"/>
      <c r="K365" s="14" t="n"/>
      <c r="L365" s="14" t="n"/>
      <c r="M365" s="15" t="n"/>
    </row>
    <row r="366">
      <c r="A366" s="12">
        <f>'Como usar'!$B$4+INT((ROW()-2)/6)</f>
        <v/>
      </c>
      <c r="B366" s="13" t="inlineStr">
        <is>
          <t>Janta</t>
        </is>
      </c>
      <c r="C366" s="14" t="n"/>
      <c r="D366" s="14" t="n"/>
      <c r="E366" s="15" t="n"/>
      <c r="F366" s="14" t="n"/>
      <c r="G366" s="15" t="n"/>
      <c r="H366" s="16" t="n"/>
      <c r="I366" s="16" t="n"/>
      <c r="J366" s="16" t="n"/>
      <c r="K366" s="14" t="n"/>
      <c r="L366" s="14" t="n"/>
      <c r="M366" s="15" t="n"/>
    </row>
    <row r="367">
      <c r="A367" s="12">
        <f>'Como usar'!$B$4+INT((ROW()-2)/6)</f>
        <v/>
      </c>
      <c r="B367" s="13" t="inlineStr">
        <is>
          <t>Ceia</t>
        </is>
      </c>
      <c r="C367" s="14" t="n"/>
      <c r="D367" s="14" t="n"/>
      <c r="E367" s="15" t="n"/>
      <c r="F367" s="14" t="n"/>
      <c r="G367" s="15" t="n"/>
      <c r="H367" s="16" t="n"/>
      <c r="I367" s="16" t="n"/>
      <c r="J367" s="16" t="n"/>
      <c r="K367" s="14" t="n"/>
      <c r="L367" s="14" t="n"/>
      <c r="M367" s="15" t="n"/>
    </row>
    <row r="368">
      <c r="A368" s="12">
        <f>'Como usar'!$B$4+INT((ROW()-2)/6)</f>
        <v/>
      </c>
      <c r="B368" s="13" t="inlineStr">
        <is>
          <t>Café da manhã</t>
        </is>
      </c>
      <c r="C368" s="14" t="n"/>
      <c r="D368" s="14" t="n"/>
      <c r="E368" s="15" t="n"/>
      <c r="F368" s="14" t="n"/>
      <c r="G368" s="15" t="n"/>
      <c r="H368" s="16" t="n"/>
      <c r="I368" s="16" t="n"/>
      <c r="J368" s="16" t="n"/>
      <c r="K368" s="14" t="n"/>
      <c r="L368" s="14" t="n"/>
      <c r="M368" s="15" t="n"/>
    </row>
    <row r="369">
      <c r="A369" s="12">
        <f>'Como usar'!$B$4+INT((ROW()-2)/6)</f>
        <v/>
      </c>
      <c r="B369" s="13" t="inlineStr">
        <is>
          <t>Lanche</t>
        </is>
      </c>
      <c r="C369" s="14" t="n"/>
      <c r="D369" s="14" t="n"/>
      <c r="E369" s="15" t="n"/>
      <c r="F369" s="14" t="n"/>
      <c r="G369" s="15" t="n"/>
      <c r="H369" s="16" t="n"/>
      <c r="I369" s="16" t="n"/>
      <c r="J369" s="16" t="n"/>
      <c r="K369" s="14" t="n"/>
      <c r="L369" s="14" t="n"/>
      <c r="M369" s="15" t="n"/>
    </row>
    <row r="370">
      <c r="A370" s="12">
        <f>'Como usar'!$B$4+INT((ROW()-2)/6)</f>
        <v/>
      </c>
      <c r="B370" s="13" t="inlineStr">
        <is>
          <t>Almoço</t>
        </is>
      </c>
      <c r="C370" s="14" t="n"/>
      <c r="D370" s="14" t="n"/>
      <c r="E370" s="15" t="n"/>
      <c r="F370" s="14" t="n"/>
      <c r="G370" s="15" t="n"/>
      <c r="H370" s="16" t="n"/>
      <c r="I370" s="16" t="n"/>
      <c r="J370" s="16" t="n"/>
      <c r="K370" s="14" t="n"/>
      <c r="L370" s="14" t="n"/>
      <c r="M370" s="15" t="n"/>
    </row>
    <row r="371">
      <c r="A371" s="12">
        <f>'Como usar'!$B$4+INT((ROW()-2)/6)</f>
        <v/>
      </c>
      <c r="B371" s="13" t="inlineStr">
        <is>
          <t>Café da tarde</t>
        </is>
      </c>
      <c r="C371" s="14" t="n"/>
      <c r="D371" s="14" t="n"/>
      <c r="E371" s="15" t="n"/>
      <c r="F371" s="14" t="n"/>
      <c r="G371" s="15" t="n"/>
      <c r="H371" s="16" t="n"/>
      <c r="I371" s="16" t="n"/>
      <c r="J371" s="16" t="n"/>
      <c r="K371" s="14" t="n"/>
      <c r="L371" s="14" t="n"/>
      <c r="M371" s="15" t="n"/>
    </row>
    <row r="372">
      <c r="A372" s="12">
        <f>'Como usar'!$B$4+INT((ROW()-2)/6)</f>
        <v/>
      </c>
      <c r="B372" s="13" t="inlineStr">
        <is>
          <t>Janta</t>
        </is>
      </c>
      <c r="C372" s="14" t="n"/>
      <c r="D372" s="14" t="n"/>
      <c r="E372" s="15" t="n"/>
      <c r="F372" s="14" t="n"/>
      <c r="G372" s="15" t="n"/>
      <c r="H372" s="16" t="n"/>
      <c r="I372" s="16" t="n"/>
      <c r="J372" s="16" t="n"/>
      <c r="K372" s="14" t="n"/>
      <c r="L372" s="14" t="n"/>
      <c r="M372" s="15" t="n"/>
    </row>
    <row r="373">
      <c r="A373" s="12">
        <f>'Como usar'!$B$4+INT((ROW()-2)/6)</f>
        <v/>
      </c>
      <c r="B373" s="13" t="inlineStr">
        <is>
          <t>Ceia</t>
        </is>
      </c>
      <c r="C373" s="14" t="n"/>
      <c r="D373" s="14" t="n"/>
      <c r="E373" s="15" t="n"/>
      <c r="F373" s="14" t="n"/>
      <c r="G373" s="15" t="n"/>
      <c r="H373" s="16" t="n"/>
      <c r="I373" s="16" t="n"/>
      <c r="J373" s="16" t="n"/>
      <c r="K373" s="14" t="n"/>
      <c r="L373" s="14" t="n"/>
      <c r="M373" s="15" t="n"/>
    </row>
    <row r="374">
      <c r="A374" s="12">
        <f>'Como usar'!$B$4+INT((ROW()-2)/6)</f>
        <v/>
      </c>
      <c r="B374" s="13" t="inlineStr">
        <is>
          <t>Café da manhã</t>
        </is>
      </c>
      <c r="C374" s="14" t="n"/>
      <c r="D374" s="14" t="n"/>
      <c r="E374" s="15" t="n"/>
      <c r="F374" s="14" t="n"/>
      <c r="G374" s="15" t="n"/>
      <c r="H374" s="16" t="n"/>
      <c r="I374" s="16" t="n"/>
      <c r="J374" s="16" t="n"/>
      <c r="K374" s="14" t="n"/>
      <c r="L374" s="14" t="n"/>
      <c r="M374" s="15" t="n"/>
    </row>
    <row r="375">
      <c r="A375" s="12">
        <f>'Como usar'!$B$4+INT((ROW()-2)/6)</f>
        <v/>
      </c>
      <c r="B375" s="13" t="inlineStr">
        <is>
          <t>Lanche</t>
        </is>
      </c>
      <c r="C375" s="14" t="n"/>
      <c r="D375" s="14" t="n"/>
      <c r="E375" s="15" t="n"/>
      <c r="F375" s="14" t="n"/>
      <c r="G375" s="15" t="n"/>
      <c r="H375" s="16" t="n"/>
      <c r="I375" s="16" t="n"/>
      <c r="J375" s="16" t="n"/>
      <c r="K375" s="14" t="n"/>
      <c r="L375" s="14" t="n"/>
      <c r="M375" s="15" t="n"/>
    </row>
    <row r="376">
      <c r="A376" s="12">
        <f>'Como usar'!$B$4+INT((ROW()-2)/6)</f>
        <v/>
      </c>
      <c r="B376" s="13" t="inlineStr">
        <is>
          <t>Almoço</t>
        </is>
      </c>
      <c r="C376" s="14" t="n"/>
      <c r="D376" s="14" t="n"/>
      <c r="E376" s="15" t="n"/>
      <c r="F376" s="14" t="n"/>
      <c r="G376" s="15" t="n"/>
      <c r="H376" s="16" t="n"/>
      <c r="I376" s="16" t="n"/>
      <c r="J376" s="16" t="n"/>
      <c r="K376" s="14" t="n"/>
      <c r="L376" s="14" t="n"/>
      <c r="M376" s="15" t="n"/>
    </row>
    <row r="377">
      <c r="A377" s="12">
        <f>'Como usar'!$B$4+INT((ROW()-2)/6)</f>
        <v/>
      </c>
      <c r="B377" s="13" t="inlineStr">
        <is>
          <t>Café da tarde</t>
        </is>
      </c>
      <c r="C377" s="14" t="n"/>
      <c r="D377" s="14" t="n"/>
      <c r="E377" s="15" t="n"/>
      <c r="F377" s="14" t="n"/>
      <c r="G377" s="15" t="n"/>
      <c r="H377" s="16" t="n"/>
      <c r="I377" s="16" t="n"/>
      <c r="J377" s="16" t="n"/>
      <c r="K377" s="14" t="n"/>
      <c r="L377" s="14" t="n"/>
      <c r="M377" s="15" t="n"/>
    </row>
    <row r="378">
      <c r="A378" s="12">
        <f>'Como usar'!$B$4+INT((ROW()-2)/6)</f>
        <v/>
      </c>
      <c r="B378" s="13" t="inlineStr">
        <is>
          <t>Janta</t>
        </is>
      </c>
      <c r="C378" s="14" t="n"/>
      <c r="D378" s="14" t="n"/>
      <c r="E378" s="15" t="n"/>
      <c r="F378" s="14" t="n"/>
      <c r="G378" s="15" t="n"/>
      <c r="H378" s="16" t="n"/>
      <c r="I378" s="16" t="n"/>
      <c r="J378" s="16" t="n"/>
      <c r="K378" s="14" t="n"/>
      <c r="L378" s="14" t="n"/>
      <c r="M378" s="15" t="n"/>
    </row>
    <row r="379">
      <c r="A379" s="12">
        <f>'Como usar'!$B$4+INT((ROW()-2)/6)</f>
        <v/>
      </c>
      <c r="B379" s="13" t="inlineStr">
        <is>
          <t>Ceia</t>
        </is>
      </c>
      <c r="C379" s="14" t="n"/>
      <c r="D379" s="14" t="n"/>
      <c r="E379" s="15" t="n"/>
      <c r="F379" s="14" t="n"/>
      <c r="G379" s="15" t="n"/>
      <c r="H379" s="16" t="n"/>
      <c r="I379" s="16" t="n"/>
      <c r="J379" s="16" t="n"/>
      <c r="K379" s="14" t="n"/>
      <c r="L379" s="14" t="n"/>
      <c r="M379" s="15" t="n"/>
    </row>
    <row r="380">
      <c r="A380" s="12">
        <f>'Como usar'!$B$4+INT((ROW()-2)/6)</f>
        <v/>
      </c>
      <c r="B380" s="13" t="inlineStr">
        <is>
          <t>Café da manhã</t>
        </is>
      </c>
      <c r="C380" s="14" t="n"/>
      <c r="D380" s="14" t="n"/>
      <c r="E380" s="15" t="n"/>
      <c r="F380" s="14" t="n"/>
      <c r="G380" s="15" t="n"/>
      <c r="H380" s="16" t="n"/>
      <c r="I380" s="16" t="n"/>
      <c r="J380" s="16" t="n"/>
      <c r="K380" s="14" t="n"/>
      <c r="L380" s="14" t="n"/>
      <c r="M380" s="15" t="n"/>
    </row>
    <row r="381">
      <c r="A381" s="12">
        <f>'Como usar'!$B$4+INT((ROW()-2)/6)</f>
        <v/>
      </c>
      <c r="B381" s="13" t="inlineStr">
        <is>
          <t>Lanche</t>
        </is>
      </c>
      <c r="C381" s="14" t="n"/>
      <c r="D381" s="14" t="n"/>
      <c r="E381" s="15" t="n"/>
      <c r="F381" s="14" t="n"/>
      <c r="G381" s="15" t="n"/>
      <c r="H381" s="16" t="n"/>
      <c r="I381" s="16" t="n"/>
      <c r="J381" s="16" t="n"/>
      <c r="K381" s="14" t="n"/>
      <c r="L381" s="14" t="n"/>
      <c r="M381" s="15" t="n"/>
    </row>
    <row r="382">
      <c r="A382" s="12">
        <f>'Como usar'!$B$4+INT((ROW()-2)/6)</f>
        <v/>
      </c>
      <c r="B382" s="13" t="inlineStr">
        <is>
          <t>Almoço</t>
        </is>
      </c>
      <c r="C382" s="14" t="n"/>
      <c r="D382" s="14" t="n"/>
      <c r="E382" s="15" t="n"/>
      <c r="F382" s="14" t="n"/>
      <c r="G382" s="15" t="n"/>
      <c r="H382" s="16" t="n"/>
      <c r="I382" s="16" t="n"/>
      <c r="J382" s="16" t="n"/>
      <c r="K382" s="14" t="n"/>
      <c r="L382" s="14" t="n"/>
      <c r="M382" s="15" t="n"/>
    </row>
    <row r="383">
      <c r="A383" s="12">
        <f>'Como usar'!$B$4+INT((ROW()-2)/6)</f>
        <v/>
      </c>
      <c r="B383" s="13" t="inlineStr">
        <is>
          <t>Café da tarde</t>
        </is>
      </c>
      <c r="C383" s="14" t="n"/>
      <c r="D383" s="14" t="n"/>
      <c r="E383" s="15" t="n"/>
      <c r="F383" s="14" t="n"/>
      <c r="G383" s="15" t="n"/>
      <c r="H383" s="16" t="n"/>
      <c r="I383" s="16" t="n"/>
      <c r="J383" s="16" t="n"/>
      <c r="K383" s="14" t="n"/>
      <c r="L383" s="14" t="n"/>
      <c r="M383" s="15" t="n"/>
    </row>
    <row r="384">
      <c r="A384" s="12">
        <f>'Como usar'!$B$4+INT((ROW()-2)/6)</f>
        <v/>
      </c>
      <c r="B384" s="13" t="inlineStr">
        <is>
          <t>Janta</t>
        </is>
      </c>
      <c r="C384" s="14" t="n"/>
      <c r="D384" s="14" t="n"/>
      <c r="E384" s="15" t="n"/>
      <c r="F384" s="14" t="n"/>
      <c r="G384" s="15" t="n"/>
      <c r="H384" s="16" t="n"/>
      <c r="I384" s="16" t="n"/>
      <c r="J384" s="16" t="n"/>
      <c r="K384" s="14" t="n"/>
      <c r="L384" s="14" t="n"/>
      <c r="M384" s="15" t="n"/>
    </row>
    <row r="385">
      <c r="A385" s="12">
        <f>'Como usar'!$B$4+INT((ROW()-2)/6)</f>
        <v/>
      </c>
      <c r="B385" s="13" t="inlineStr">
        <is>
          <t>Ceia</t>
        </is>
      </c>
      <c r="C385" s="14" t="n"/>
      <c r="D385" s="14" t="n"/>
      <c r="E385" s="15" t="n"/>
      <c r="F385" s="14" t="n"/>
      <c r="G385" s="15" t="n"/>
      <c r="H385" s="16" t="n"/>
      <c r="I385" s="16" t="n"/>
      <c r="J385" s="16" t="n"/>
      <c r="K385" s="14" t="n"/>
      <c r="L385" s="14" t="n"/>
      <c r="M385" s="15" t="n"/>
    </row>
    <row r="386">
      <c r="A386" s="12">
        <f>'Como usar'!$B$4+INT((ROW()-2)/6)</f>
        <v/>
      </c>
      <c r="B386" s="13" t="inlineStr">
        <is>
          <t>Café da manhã</t>
        </is>
      </c>
      <c r="C386" s="14" t="n"/>
      <c r="D386" s="14" t="n"/>
      <c r="E386" s="15" t="n"/>
      <c r="F386" s="14" t="n"/>
      <c r="G386" s="15" t="n"/>
      <c r="H386" s="16" t="n"/>
      <c r="I386" s="16" t="n"/>
      <c r="J386" s="16" t="n"/>
      <c r="K386" s="14" t="n"/>
      <c r="L386" s="14" t="n"/>
      <c r="M386" s="15" t="n"/>
    </row>
    <row r="387">
      <c r="A387" s="12">
        <f>'Como usar'!$B$4+INT((ROW()-2)/6)</f>
        <v/>
      </c>
      <c r="B387" s="13" t="inlineStr">
        <is>
          <t>Lanche</t>
        </is>
      </c>
      <c r="C387" s="14" t="n"/>
      <c r="D387" s="14" t="n"/>
      <c r="E387" s="15" t="n"/>
      <c r="F387" s="14" t="n"/>
      <c r="G387" s="15" t="n"/>
      <c r="H387" s="16" t="n"/>
      <c r="I387" s="16" t="n"/>
      <c r="J387" s="16" t="n"/>
      <c r="K387" s="14" t="n"/>
      <c r="L387" s="14" t="n"/>
      <c r="M387" s="15" t="n"/>
    </row>
    <row r="388">
      <c r="A388" s="12">
        <f>'Como usar'!$B$4+INT((ROW()-2)/6)</f>
        <v/>
      </c>
      <c r="B388" s="13" t="inlineStr">
        <is>
          <t>Almoço</t>
        </is>
      </c>
      <c r="C388" s="14" t="n"/>
      <c r="D388" s="14" t="n"/>
      <c r="E388" s="15" t="n"/>
      <c r="F388" s="14" t="n"/>
      <c r="G388" s="15" t="n"/>
      <c r="H388" s="16" t="n"/>
      <c r="I388" s="16" t="n"/>
      <c r="J388" s="16" t="n"/>
      <c r="K388" s="14" t="n"/>
      <c r="L388" s="14" t="n"/>
      <c r="M388" s="15" t="n"/>
    </row>
    <row r="389">
      <c r="A389" s="12">
        <f>'Como usar'!$B$4+INT((ROW()-2)/6)</f>
        <v/>
      </c>
      <c r="B389" s="13" t="inlineStr">
        <is>
          <t>Café da tarde</t>
        </is>
      </c>
      <c r="C389" s="14" t="n"/>
      <c r="D389" s="14" t="n"/>
      <c r="E389" s="15" t="n"/>
      <c r="F389" s="14" t="n"/>
      <c r="G389" s="15" t="n"/>
      <c r="H389" s="16" t="n"/>
      <c r="I389" s="16" t="n"/>
      <c r="J389" s="16" t="n"/>
      <c r="K389" s="14" t="n"/>
      <c r="L389" s="14" t="n"/>
      <c r="M389" s="15" t="n"/>
    </row>
    <row r="390">
      <c r="A390" s="12">
        <f>'Como usar'!$B$4+INT((ROW()-2)/6)</f>
        <v/>
      </c>
      <c r="B390" s="13" t="inlineStr">
        <is>
          <t>Janta</t>
        </is>
      </c>
      <c r="C390" s="14" t="n"/>
      <c r="D390" s="14" t="n"/>
      <c r="E390" s="15" t="n"/>
      <c r="F390" s="14" t="n"/>
      <c r="G390" s="15" t="n"/>
      <c r="H390" s="16" t="n"/>
      <c r="I390" s="16" t="n"/>
      <c r="J390" s="16" t="n"/>
      <c r="K390" s="14" t="n"/>
      <c r="L390" s="14" t="n"/>
      <c r="M390" s="15" t="n"/>
    </row>
    <row r="391">
      <c r="A391" s="12">
        <f>'Como usar'!$B$4+INT((ROW()-2)/6)</f>
        <v/>
      </c>
      <c r="B391" s="13" t="inlineStr">
        <is>
          <t>Ceia</t>
        </is>
      </c>
      <c r="C391" s="14" t="n"/>
      <c r="D391" s="14" t="n"/>
      <c r="E391" s="15" t="n"/>
      <c r="F391" s="14" t="n"/>
      <c r="G391" s="15" t="n"/>
      <c r="H391" s="16" t="n"/>
      <c r="I391" s="16" t="n"/>
      <c r="J391" s="16" t="n"/>
      <c r="K391" s="14" t="n"/>
      <c r="L391" s="14" t="n"/>
      <c r="M391" s="15" t="n"/>
    </row>
    <row r="392">
      <c r="A392" s="12">
        <f>'Como usar'!$B$4+INT((ROW()-2)/6)</f>
        <v/>
      </c>
      <c r="B392" s="13" t="inlineStr">
        <is>
          <t>Café da manhã</t>
        </is>
      </c>
      <c r="C392" s="14" t="n"/>
      <c r="D392" s="14" t="n"/>
      <c r="E392" s="15" t="n"/>
      <c r="F392" s="14" t="n"/>
      <c r="G392" s="15" t="n"/>
      <c r="H392" s="16" t="n"/>
      <c r="I392" s="16" t="n"/>
      <c r="J392" s="16" t="n"/>
      <c r="K392" s="14" t="n"/>
      <c r="L392" s="14" t="n"/>
      <c r="M392" s="15" t="n"/>
    </row>
    <row r="393">
      <c r="A393" s="12">
        <f>'Como usar'!$B$4+INT((ROW()-2)/6)</f>
        <v/>
      </c>
      <c r="B393" s="13" t="inlineStr">
        <is>
          <t>Lanche</t>
        </is>
      </c>
      <c r="C393" s="14" t="n"/>
      <c r="D393" s="14" t="n"/>
      <c r="E393" s="15" t="n"/>
      <c r="F393" s="14" t="n"/>
      <c r="G393" s="15" t="n"/>
      <c r="H393" s="16" t="n"/>
      <c r="I393" s="16" t="n"/>
      <c r="J393" s="16" t="n"/>
      <c r="K393" s="14" t="n"/>
      <c r="L393" s="14" t="n"/>
      <c r="M393" s="15" t="n"/>
    </row>
    <row r="394">
      <c r="A394" s="12">
        <f>'Como usar'!$B$4+INT((ROW()-2)/6)</f>
        <v/>
      </c>
      <c r="B394" s="13" t="inlineStr">
        <is>
          <t>Almoço</t>
        </is>
      </c>
      <c r="C394" s="14" t="n"/>
      <c r="D394" s="14" t="n"/>
      <c r="E394" s="15" t="n"/>
      <c r="F394" s="14" t="n"/>
      <c r="G394" s="15" t="n"/>
      <c r="H394" s="16" t="n"/>
      <c r="I394" s="16" t="n"/>
      <c r="J394" s="16" t="n"/>
      <c r="K394" s="14" t="n"/>
      <c r="L394" s="14" t="n"/>
      <c r="M394" s="15" t="n"/>
    </row>
    <row r="395">
      <c r="A395" s="12">
        <f>'Como usar'!$B$4+INT((ROW()-2)/6)</f>
        <v/>
      </c>
      <c r="B395" s="13" t="inlineStr">
        <is>
          <t>Café da tarde</t>
        </is>
      </c>
      <c r="C395" s="14" t="n"/>
      <c r="D395" s="14" t="n"/>
      <c r="E395" s="15" t="n"/>
      <c r="F395" s="14" t="n"/>
      <c r="G395" s="15" t="n"/>
      <c r="H395" s="16" t="n"/>
      <c r="I395" s="16" t="n"/>
      <c r="J395" s="16" t="n"/>
      <c r="K395" s="14" t="n"/>
      <c r="L395" s="14" t="n"/>
      <c r="M395" s="15" t="n"/>
    </row>
    <row r="396">
      <c r="A396" s="12">
        <f>'Como usar'!$B$4+INT((ROW()-2)/6)</f>
        <v/>
      </c>
      <c r="B396" s="13" t="inlineStr">
        <is>
          <t>Janta</t>
        </is>
      </c>
      <c r="C396" s="14" t="n"/>
      <c r="D396" s="14" t="n"/>
      <c r="E396" s="15" t="n"/>
      <c r="F396" s="14" t="n"/>
      <c r="G396" s="15" t="n"/>
      <c r="H396" s="16" t="n"/>
      <c r="I396" s="16" t="n"/>
      <c r="J396" s="16" t="n"/>
      <c r="K396" s="14" t="n"/>
      <c r="L396" s="14" t="n"/>
      <c r="M396" s="15" t="n"/>
    </row>
    <row r="397">
      <c r="A397" s="12">
        <f>'Como usar'!$B$4+INT((ROW()-2)/6)</f>
        <v/>
      </c>
      <c r="B397" s="13" t="inlineStr">
        <is>
          <t>Ceia</t>
        </is>
      </c>
      <c r="C397" s="14" t="n"/>
      <c r="D397" s="14" t="n"/>
      <c r="E397" s="15" t="n"/>
      <c r="F397" s="14" t="n"/>
      <c r="G397" s="15" t="n"/>
      <c r="H397" s="16" t="n"/>
      <c r="I397" s="16" t="n"/>
      <c r="J397" s="16" t="n"/>
      <c r="K397" s="14" t="n"/>
      <c r="L397" s="14" t="n"/>
      <c r="M397" s="15" t="n"/>
    </row>
    <row r="398">
      <c r="A398" s="12">
        <f>'Como usar'!$B$4+INT((ROW()-2)/6)</f>
        <v/>
      </c>
      <c r="B398" s="13" t="inlineStr">
        <is>
          <t>Café da manhã</t>
        </is>
      </c>
      <c r="C398" s="14" t="n"/>
      <c r="D398" s="14" t="n"/>
      <c r="E398" s="15" t="n"/>
      <c r="F398" s="14" t="n"/>
      <c r="G398" s="15" t="n"/>
      <c r="H398" s="16" t="n"/>
      <c r="I398" s="16" t="n"/>
      <c r="J398" s="16" t="n"/>
      <c r="K398" s="14" t="n"/>
      <c r="L398" s="14" t="n"/>
      <c r="M398" s="15" t="n"/>
    </row>
    <row r="399">
      <c r="A399" s="12">
        <f>'Como usar'!$B$4+INT((ROW()-2)/6)</f>
        <v/>
      </c>
      <c r="B399" s="13" t="inlineStr">
        <is>
          <t>Lanche</t>
        </is>
      </c>
      <c r="C399" s="14" t="n"/>
      <c r="D399" s="14" t="n"/>
      <c r="E399" s="15" t="n"/>
      <c r="F399" s="14" t="n"/>
      <c r="G399" s="15" t="n"/>
      <c r="H399" s="16" t="n"/>
      <c r="I399" s="16" t="n"/>
      <c r="J399" s="16" t="n"/>
      <c r="K399" s="14" t="n"/>
      <c r="L399" s="14" t="n"/>
      <c r="M399" s="15" t="n"/>
    </row>
    <row r="400">
      <c r="A400" s="12">
        <f>'Como usar'!$B$4+INT((ROW()-2)/6)</f>
        <v/>
      </c>
      <c r="B400" s="13" t="inlineStr">
        <is>
          <t>Almoço</t>
        </is>
      </c>
      <c r="C400" s="14" t="n"/>
      <c r="D400" s="14" t="n"/>
      <c r="E400" s="15" t="n"/>
      <c r="F400" s="14" t="n"/>
      <c r="G400" s="15" t="n"/>
      <c r="H400" s="16" t="n"/>
      <c r="I400" s="16" t="n"/>
      <c r="J400" s="16" t="n"/>
      <c r="K400" s="14" t="n"/>
      <c r="L400" s="14" t="n"/>
      <c r="M400" s="15" t="n"/>
    </row>
    <row r="401">
      <c r="A401" s="12">
        <f>'Como usar'!$B$4+INT((ROW()-2)/6)</f>
        <v/>
      </c>
      <c r="B401" s="13" t="inlineStr">
        <is>
          <t>Café da tarde</t>
        </is>
      </c>
      <c r="C401" s="14" t="n"/>
      <c r="D401" s="14" t="n"/>
      <c r="E401" s="15" t="n"/>
      <c r="F401" s="14" t="n"/>
      <c r="G401" s="15" t="n"/>
      <c r="H401" s="16" t="n"/>
      <c r="I401" s="16" t="n"/>
      <c r="J401" s="16" t="n"/>
      <c r="K401" s="14" t="n"/>
      <c r="L401" s="14" t="n"/>
      <c r="M401" s="15" t="n"/>
    </row>
    <row r="402">
      <c r="A402" s="12">
        <f>'Como usar'!$B$4+INT((ROW()-2)/6)</f>
        <v/>
      </c>
      <c r="B402" s="13" t="inlineStr">
        <is>
          <t>Janta</t>
        </is>
      </c>
      <c r="C402" s="14" t="n"/>
      <c r="D402" s="14" t="n"/>
      <c r="E402" s="15" t="n"/>
      <c r="F402" s="14" t="n"/>
      <c r="G402" s="15" t="n"/>
      <c r="H402" s="16" t="n"/>
      <c r="I402" s="16" t="n"/>
      <c r="J402" s="16" t="n"/>
      <c r="K402" s="14" t="n"/>
      <c r="L402" s="14" t="n"/>
      <c r="M402" s="15" t="n"/>
    </row>
    <row r="403">
      <c r="A403" s="12">
        <f>'Como usar'!$B$4+INT((ROW()-2)/6)</f>
        <v/>
      </c>
      <c r="B403" s="13" t="inlineStr">
        <is>
          <t>Ceia</t>
        </is>
      </c>
      <c r="C403" s="14" t="n"/>
      <c r="D403" s="14" t="n"/>
      <c r="E403" s="15" t="n"/>
      <c r="F403" s="14" t="n"/>
      <c r="G403" s="15" t="n"/>
      <c r="H403" s="16" t="n"/>
      <c r="I403" s="16" t="n"/>
      <c r="J403" s="16" t="n"/>
      <c r="K403" s="14" t="n"/>
      <c r="L403" s="14" t="n"/>
      <c r="M403" s="15" t="n"/>
    </row>
    <row r="404">
      <c r="A404" s="12">
        <f>'Como usar'!$B$4+INT((ROW()-2)/6)</f>
        <v/>
      </c>
      <c r="B404" s="13" t="inlineStr">
        <is>
          <t>Café da manhã</t>
        </is>
      </c>
      <c r="C404" s="14" t="n"/>
      <c r="D404" s="14" t="n"/>
      <c r="E404" s="15" t="n"/>
      <c r="F404" s="14" t="n"/>
      <c r="G404" s="15" t="n"/>
      <c r="H404" s="16" t="n"/>
      <c r="I404" s="16" t="n"/>
      <c r="J404" s="16" t="n"/>
      <c r="K404" s="14" t="n"/>
      <c r="L404" s="14" t="n"/>
      <c r="M404" s="15" t="n"/>
    </row>
    <row r="405">
      <c r="A405" s="12">
        <f>'Como usar'!$B$4+INT((ROW()-2)/6)</f>
        <v/>
      </c>
      <c r="B405" s="13" t="inlineStr">
        <is>
          <t>Lanche</t>
        </is>
      </c>
      <c r="C405" s="14" t="n"/>
      <c r="D405" s="14" t="n"/>
      <c r="E405" s="15" t="n"/>
      <c r="F405" s="14" t="n"/>
      <c r="G405" s="15" t="n"/>
      <c r="H405" s="16" t="n"/>
      <c r="I405" s="16" t="n"/>
      <c r="J405" s="16" t="n"/>
      <c r="K405" s="14" t="n"/>
      <c r="L405" s="14" t="n"/>
      <c r="M405" s="15" t="n"/>
    </row>
    <row r="406">
      <c r="A406" s="12">
        <f>'Como usar'!$B$4+INT((ROW()-2)/6)</f>
        <v/>
      </c>
      <c r="B406" s="13" t="inlineStr">
        <is>
          <t>Almoço</t>
        </is>
      </c>
      <c r="C406" s="14" t="n"/>
      <c r="D406" s="14" t="n"/>
      <c r="E406" s="15" t="n"/>
      <c r="F406" s="14" t="n"/>
      <c r="G406" s="15" t="n"/>
      <c r="H406" s="16" t="n"/>
      <c r="I406" s="16" t="n"/>
      <c r="J406" s="16" t="n"/>
      <c r="K406" s="14" t="n"/>
      <c r="L406" s="14" t="n"/>
      <c r="M406" s="15" t="n"/>
    </row>
    <row r="407">
      <c r="A407" s="12">
        <f>'Como usar'!$B$4+INT((ROW()-2)/6)</f>
        <v/>
      </c>
      <c r="B407" s="13" t="inlineStr">
        <is>
          <t>Café da tarde</t>
        </is>
      </c>
      <c r="C407" s="14" t="n"/>
      <c r="D407" s="14" t="n"/>
      <c r="E407" s="15" t="n"/>
      <c r="F407" s="14" t="n"/>
      <c r="G407" s="15" t="n"/>
      <c r="H407" s="16" t="n"/>
      <c r="I407" s="16" t="n"/>
      <c r="J407" s="16" t="n"/>
      <c r="K407" s="14" t="n"/>
      <c r="L407" s="14" t="n"/>
      <c r="M407" s="15" t="n"/>
    </row>
    <row r="408">
      <c r="A408" s="12">
        <f>'Como usar'!$B$4+INT((ROW()-2)/6)</f>
        <v/>
      </c>
      <c r="B408" s="13" t="inlineStr">
        <is>
          <t>Janta</t>
        </is>
      </c>
      <c r="C408" s="14" t="n"/>
      <c r="D408" s="14" t="n"/>
      <c r="E408" s="15" t="n"/>
      <c r="F408" s="14" t="n"/>
      <c r="G408" s="15" t="n"/>
      <c r="H408" s="16" t="n"/>
      <c r="I408" s="16" t="n"/>
      <c r="J408" s="16" t="n"/>
      <c r="K408" s="14" t="n"/>
      <c r="L408" s="14" t="n"/>
      <c r="M408" s="15" t="n"/>
    </row>
    <row r="409">
      <c r="A409" s="12">
        <f>'Como usar'!$B$4+INT((ROW()-2)/6)</f>
        <v/>
      </c>
      <c r="B409" s="13" t="inlineStr">
        <is>
          <t>Ceia</t>
        </is>
      </c>
      <c r="C409" s="14" t="n"/>
      <c r="D409" s="14" t="n"/>
      <c r="E409" s="15" t="n"/>
      <c r="F409" s="14" t="n"/>
      <c r="G409" s="15" t="n"/>
      <c r="H409" s="16" t="n"/>
      <c r="I409" s="16" t="n"/>
      <c r="J409" s="16" t="n"/>
      <c r="K409" s="14" t="n"/>
      <c r="L409" s="14" t="n"/>
      <c r="M409" s="15" t="n"/>
    </row>
    <row r="410">
      <c r="A410" s="12">
        <f>'Como usar'!$B$4+INT((ROW()-2)/6)</f>
        <v/>
      </c>
      <c r="B410" s="13" t="inlineStr">
        <is>
          <t>Café da manhã</t>
        </is>
      </c>
      <c r="C410" s="14" t="n"/>
      <c r="D410" s="14" t="n"/>
      <c r="E410" s="15" t="n"/>
      <c r="F410" s="14" t="n"/>
      <c r="G410" s="15" t="n"/>
      <c r="H410" s="16" t="n"/>
      <c r="I410" s="16" t="n"/>
      <c r="J410" s="16" t="n"/>
      <c r="K410" s="14" t="n"/>
      <c r="L410" s="14" t="n"/>
      <c r="M410" s="15" t="n"/>
    </row>
    <row r="411">
      <c r="A411" s="12">
        <f>'Como usar'!$B$4+INT((ROW()-2)/6)</f>
        <v/>
      </c>
      <c r="B411" s="13" t="inlineStr">
        <is>
          <t>Lanche</t>
        </is>
      </c>
      <c r="C411" s="14" t="n"/>
      <c r="D411" s="14" t="n"/>
      <c r="E411" s="15" t="n"/>
      <c r="F411" s="14" t="n"/>
      <c r="G411" s="15" t="n"/>
      <c r="H411" s="16" t="n"/>
      <c r="I411" s="16" t="n"/>
      <c r="J411" s="16" t="n"/>
      <c r="K411" s="14" t="n"/>
      <c r="L411" s="14" t="n"/>
      <c r="M411" s="15" t="n"/>
    </row>
    <row r="412">
      <c r="A412" s="12">
        <f>'Como usar'!$B$4+INT((ROW()-2)/6)</f>
        <v/>
      </c>
      <c r="B412" s="13" t="inlineStr">
        <is>
          <t>Almoço</t>
        </is>
      </c>
      <c r="C412" s="14" t="n"/>
      <c r="D412" s="14" t="n"/>
      <c r="E412" s="15" t="n"/>
      <c r="F412" s="14" t="n"/>
      <c r="G412" s="15" t="n"/>
      <c r="H412" s="16" t="n"/>
      <c r="I412" s="16" t="n"/>
      <c r="J412" s="16" t="n"/>
      <c r="K412" s="14" t="n"/>
      <c r="L412" s="14" t="n"/>
      <c r="M412" s="15" t="n"/>
    </row>
    <row r="413">
      <c r="A413" s="12">
        <f>'Como usar'!$B$4+INT((ROW()-2)/6)</f>
        <v/>
      </c>
      <c r="B413" s="13" t="inlineStr">
        <is>
          <t>Café da tarde</t>
        </is>
      </c>
      <c r="C413" s="14" t="n"/>
      <c r="D413" s="14" t="n"/>
      <c r="E413" s="15" t="n"/>
      <c r="F413" s="14" t="n"/>
      <c r="G413" s="15" t="n"/>
      <c r="H413" s="16" t="n"/>
      <c r="I413" s="16" t="n"/>
      <c r="J413" s="16" t="n"/>
      <c r="K413" s="14" t="n"/>
      <c r="L413" s="14" t="n"/>
      <c r="M413" s="15" t="n"/>
    </row>
    <row r="414">
      <c r="A414" s="12">
        <f>'Como usar'!$B$4+INT((ROW()-2)/6)</f>
        <v/>
      </c>
      <c r="B414" s="13" t="inlineStr">
        <is>
          <t>Janta</t>
        </is>
      </c>
      <c r="C414" s="14" t="n"/>
      <c r="D414" s="14" t="n"/>
      <c r="E414" s="15" t="n"/>
      <c r="F414" s="14" t="n"/>
      <c r="G414" s="15" t="n"/>
      <c r="H414" s="16" t="n"/>
      <c r="I414" s="16" t="n"/>
      <c r="J414" s="16" t="n"/>
      <c r="K414" s="14" t="n"/>
      <c r="L414" s="14" t="n"/>
      <c r="M414" s="15" t="n"/>
    </row>
    <row r="415">
      <c r="A415" s="12">
        <f>'Como usar'!$B$4+INT((ROW()-2)/6)</f>
        <v/>
      </c>
      <c r="B415" s="13" t="inlineStr">
        <is>
          <t>Ceia</t>
        </is>
      </c>
      <c r="C415" s="14" t="n"/>
      <c r="D415" s="14" t="n"/>
      <c r="E415" s="15" t="n"/>
      <c r="F415" s="14" t="n"/>
      <c r="G415" s="15" t="n"/>
      <c r="H415" s="16" t="n"/>
      <c r="I415" s="16" t="n"/>
      <c r="J415" s="16" t="n"/>
      <c r="K415" s="14" t="n"/>
      <c r="L415" s="14" t="n"/>
      <c r="M415" s="15" t="n"/>
    </row>
    <row r="416">
      <c r="A416" s="12">
        <f>'Como usar'!$B$4+INT((ROW()-2)/6)</f>
        <v/>
      </c>
      <c r="B416" s="13" t="inlineStr">
        <is>
          <t>Café da manhã</t>
        </is>
      </c>
      <c r="C416" s="14" t="n"/>
      <c r="D416" s="14" t="n"/>
      <c r="E416" s="15" t="n"/>
      <c r="F416" s="14" t="n"/>
      <c r="G416" s="15" t="n"/>
      <c r="H416" s="16" t="n"/>
      <c r="I416" s="16" t="n"/>
      <c r="J416" s="16" t="n"/>
      <c r="K416" s="14" t="n"/>
      <c r="L416" s="14" t="n"/>
      <c r="M416" s="15" t="n"/>
    </row>
    <row r="417">
      <c r="A417" s="12">
        <f>'Como usar'!$B$4+INT((ROW()-2)/6)</f>
        <v/>
      </c>
      <c r="B417" s="13" t="inlineStr">
        <is>
          <t>Lanche</t>
        </is>
      </c>
      <c r="C417" s="14" t="n"/>
      <c r="D417" s="14" t="n"/>
      <c r="E417" s="15" t="n"/>
      <c r="F417" s="14" t="n"/>
      <c r="G417" s="15" t="n"/>
      <c r="H417" s="16" t="n"/>
      <c r="I417" s="16" t="n"/>
      <c r="J417" s="16" t="n"/>
      <c r="K417" s="14" t="n"/>
      <c r="L417" s="14" t="n"/>
      <c r="M417" s="15" t="n"/>
    </row>
    <row r="418">
      <c r="A418" s="12">
        <f>'Como usar'!$B$4+INT((ROW()-2)/6)</f>
        <v/>
      </c>
      <c r="B418" s="13" t="inlineStr">
        <is>
          <t>Almoço</t>
        </is>
      </c>
      <c r="C418" s="14" t="n"/>
      <c r="D418" s="14" t="n"/>
      <c r="E418" s="15" t="n"/>
      <c r="F418" s="14" t="n"/>
      <c r="G418" s="15" t="n"/>
      <c r="H418" s="16" t="n"/>
      <c r="I418" s="16" t="n"/>
      <c r="J418" s="16" t="n"/>
      <c r="K418" s="14" t="n"/>
      <c r="L418" s="14" t="n"/>
      <c r="M418" s="15" t="n"/>
    </row>
    <row r="419">
      <c r="A419" s="12">
        <f>'Como usar'!$B$4+INT((ROW()-2)/6)</f>
        <v/>
      </c>
      <c r="B419" s="13" t="inlineStr">
        <is>
          <t>Café da tarde</t>
        </is>
      </c>
      <c r="C419" s="14" t="n"/>
      <c r="D419" s="14" t="n"/>
      <c r="E419" s="15" t="n"/>
      <c r="F419" s="14" t="n"/>
      <c r="G419" s="15" t="n"/>
      <c r="H419" s="16" t="n"/>
      <c r="I419" s="16" t="n"/>
      <c r="J419" s="16" t="n"/>
      <c r="K419" s="14" t="n"/>
      <c r="L419" s="14" t="n"/>
      <c r="M419" s="15" t="n"/>
    </row>
    <row r="420">
      <c r="A420" s="12">
        <f>'Como usar'!$B$4+INT((ROW()-2)/6)</f>
        <v/>
      </c>
      <c r="B420" s="13" t="inlineStr">
        <is>
          <t>Janta</t>
        </is>
      </c>
      <c r="C420" s="14" t="n"/>
      <c r="D420" s="14" t="n"/>
      <c r="E420" s="15" t="n"/>
      <c r="F420" s="14" t="n"/>
      <c r="G420" s="15" t="n"/>
      <c r="H420" s="16" t="n"/>
      <c r="I420" s="16" t="n"/>
      <c r="J420" s="16" t="n"/>
      <c r="K420" s="14" t="n"/>
      <c r="L420" s="14" t="n"/>
      <c r="M420" s="15" t="n"/>
    </row>
    <row r="421">
      <c r="A421" s="12">
        <f>'Como usar'!$B$4+INT((ROW()-2)/6)</f>
        <v/>
      </c>
      <c r="B421" s="13" t="inlineStr">
        <is>
          <t>Ceia</t>
        </is>
      </c>
      <c r="C421" s="14" t="n"/>
      <c r="D421" s="14" t="n"/>
      <c r="E421" s="15" t="n"/>
      <c r="F421" s="14" t="n"/>
      <c r="G421" s="15" t="n"/>
      <c r="H421" s="16" t="n"/>
      <c r="I421" s="16" t="n"/>
      <c r="J421" s="16" t="n"/>
      <c r="K421" s="14" t="n"/>
      <c r="L421" s="14" t="n"/>
      <c r="M421" s="15" t="n"/>
    </row>
    <row r="422">
      <c r="A422" s="12">
        <f>'Como usar'!$B$4+INT((ROW()-2)/6)</f>
        <v/>
      </c>
      <c r="B422" s="13" t="inlineStr">
        <is>
          <t>Café da manhã</t>
        </is>
      </c>
      <c r="C422" s="14" t="n"/>
      <c r="D422" s="14" t="n"/>
      <c r="E422" s="15" t="n"/>
      <c r="F422" s="14" t="n"/>
      <c r="G422" s="15" t="n"/>
      <c r="H422" s="16" t="n"/>
      <c r="I422" s="16" t="n"/>
      <c r="J422" s="16" t="n"/>
      <c r="K422" s="14" t="n"/>
      <c r="L422" s="14" t="n"/>
      <c r="M422" s="15" t="n"/>
    </row>
    <row r="423">
      <c r="A423" s="12">
        <f>'Como usar'!$B$4+INT((ROW()-2)/6)</f>
        <v/>
      </c>
      <c r="B423" s="13" t="inlineStr">
        <is>
          <t>Lanche</t>
        </is>
      </c>
      <c r="C423" s="14" t="n"/>
      <c r="D423" s="14" t="n"/>
      <c r="E423" s="15" t="n"/>
      <c r="F423" s="14" t="n"/>
      <c r="G423" s="15" t="n"/>
      <c r="H423" s="16" t="n"/>
      <c r="I423" s="16" t="n"/>
      <c r="J423" s="16" t="n"/>
      <c r="K423" s="14" t="n"/>
      <c r="L423" s="14" t="n"/>
      <c r="M423" s="15" t="n"/>
    </row>
    <row r="424">
      <c r="A424" s="12">
        <f>'Como usar'!$B$4+INT((ROW()-2)/6)</f>
        <v/>
      </c>
      <c r="B424" s="13" t="inlineStr">
        <is>
          <t>Almoço</t>
        </is>
      </c>
      <c r="C424" s="14" t="n"/>
      <c r="D424" s="14" t="n"/>
      <c r="E424" s="15" t="n"/>
      <c r="F424" s="14" t="n"/>
      <c r="G424" s="15" t="n"/>
      <c r="H424" s="16" t="n"/>
      <c r="I424" s="16" t="n"/>
      <c r="J424" s="16" t="n"/>
      <c r="K424" s="14" t="n"/>
      <c r="L424" s="14" t="n"/>
      <c r="M424" s="15" t="n"/>
    </row>
    <row r="425">
      <c r="A425" s="12">
        <f>'Como usar'!$B$4+INT((ROW()-2)/6)</f>
        <v/>
      </c>
      <c r="B425" s="13" t="inlineStr">
        <is>
          <t>Café da tarde</t>
        </is>
      </c>
      <c r="C425" s="14" t="n"/>
      <c r="D425" s="14" t="n"/>
      <c r="E425" s="15" t="n"/>
      <c r="F425" s="14" t="n"/>
      <c r="G425" s="15" t="n"/>
      <c r="H425" s="16" t="n"/>
      <c r="I425" s="16" t="n"/>
      <c r="J425" s="16" t="n"/>
      <c r="K425" s="14" t="n"/>
      <c r="L425" s="14" t="n"/>
      <c r="M425" s="15" t="n"/>
    </row>
    <row r="426">
      <c r="A426" s="12">
        <f>'Como usar'!$B$4+INT((ROW()-2)/6)</f>
        <v/>
      </c>
      <c r="B426" s="13" t="inlineStr">
        <is>
          <t>Janta</t>
        </is>
      </c>
      <c r="C426" s="14" t="n"/>
      <c r="D426" s="14" t="n"/>
      <c r="E426" s="15" t="n"/>
      <c r="F426" s="14" t="n"/>
      <c r="G426" s="15" t="n"/>
      <c r="H426" s="16" t="n"/>
      <c r="I426" s="16" t="n"/>
      <c r="J426" s="16" t="n"/>
      <c r="K426" s="14" t="n"/>
      <c r="L426" s="14" t="n"/>
      <c r="M426" s="15" t="n"/>
    </row>
    <row r="427">
      <c r="A427" s="12">
        <f>'Como usar'!$B$4+INT((ROW()-2)/6)</f>
        <v/>
      </c>
      <c r="B427" s="13" t="inlineStr">
        <is>
          <t>Ceia</t>
        </is>
      </c>
      <c r="C427" s="14" t="n"/>
      <c r="D427" s="14" t="n"/>
      <c r="E427" s="15" t="n"/>
      <c r="F427" s="14" t="n"/>
      <c r="G427" s="15" t="n"/>
      <c r="H427" s="16" t="n"/>
      <c r="I427" s="16" t="n"/>
      <c r="J427" s="16" t="n"/>
      <c r="K427" s="14" t="n"/>
      <c r="L427" s="14" t="n"/>
      <c r="M427" s="15" t="n"/>
    </row>
    <row r="428">
      <c r="A428" s="12">
        <f>'Como usar'!$B$4+INT((ROW()-2)/6)</f>
        <v/>
      </c>
      <c r="B428" s="13" t="inlineStr">
        <is>
          <t>Café da manhã</t>
        </is>
      </c>
      <c r="C428" s="14" t="n"/>
      <c r="D428" s="14" t="n"/>
      <c r="E428" s="15" t="n"/>
      <c r="F428" s="14" t="n"/>
      <c r="G428" s="15" t="n"/>
      <c r="H428" s="16" t="n"/>
      <c r="I428" s="16" t="n"/>
      <c r="J428" s="16" t="n"/>
      <c r="K428" s="14" t="n"/>
      <c r="L428" s="14" t="n"/>
      <c r="M428" s="15" t="n"/>
    </row>
    <row r="429">
      <c r="A429" s="12">
        <f>'Como usar'!$B$4+INT((ROW()-2)/6)</f>
        <v/>
      </c>
      <c r="B429" s="13" t="inlineStr">
        <is>
          <t>Lanche</t>
        </is>
      </c>
      <c r="C429" s="14" t="n"/>
      <c r="D429" s="14" t="n"/>
      <c r="E429" s="15" t="n"/>
      <c r="F429" s="14" t="n"/>
      <c r="G429" s="15" t="n"/>
      <c r="H429" s="16" t="n"/>
      <c r="I429" s="16" t="n"/>
      <c r="J429" s="16" t="n"/>
      <c r="K429" s="14" t="n"/>
      <c r="L429" s="14" t="n"/>
      <c r="M429" s="15" t="n"/>
    </row>
    <row r="430">
      <c r="A430" s="12">
        <f>'Como usar'!$B$4+INT((ROW()-2)/6)</f>
        <v/>
      </c>
      <c r="B430" s="13" t="inlineStr">
        <is>
          <t>Almoço</t>
        </is>
      </c>
      <c r="C430" s="14" t="n"/>
      <c r="D430" s="14" t="n"/>
      <c r="E430" s="15" t="n"/>
      <c r="F430" s="14" t="n"/>
      <c r="G430" s="15" t="n"/>
      <c r="H430" s="16" t="n"/>
      <c r="I430" s="16" t="n"/>
      <c r="J430" s="16" t="n"/>
      <c r="K430" s="14" t="n"/>
      <c r="L430" s="14" t="n"/>
      <c r="M430" s="15" t="n"/>
    </row>
    <row r="431">
      <c r="A431" s="12">
        <f>'Como usar'!$B$4+INT((ROW()-2)/6)</f>
        <v/>
      </c>
      <c r="B431" s="13" t="inlineStr">
        <is>
          <t>Café da tarde</t>
        </is>
      </c>
      <c r="C431" s="14" t="n"/>
      <c r="D431" s="14" t="n"/>
      <c r="E431" s="15" t="n"/>
      <c r="F431" s="14" t="n"/>
      <c r="G431" s="15" t="n"/>
      <c r="H431" s="16" t="n"/>
      <c r="I431" s="16" t="n"/>
      <c r="J431" s="16" t="n"/>
      <c r="K431" s="14" t="n"/>
      <c r="L431" s="14" t="n"/>
      <c r="M431" s="15" t="n"/>
    </row>
    <row r="432">
      <c r="A432" s="12">
        <f>'Como usar'!$B$4+INT((ROW()-2)/6)</f>
        <v/>
      </c>
      <c r="B432" s="13" t="inlineStr">
        <is>
          <t>Janta</t>
        </is>
      </c>
      <c r="C432" s="14" t="n"/>
      <c r="D432" s="14" t="n"/>
      <c r="E432" s="15" t="n"/>
      <c r="F432" s="14" t="n"/>
      <c r="G432" s="15" t="n"/>
      <c r="H432" s="16" t="n"/>
      <c r="I432" s="16" t="n"/>
      <c r="J432" s="16" t="n"/>
      <c r="K432" s="14" t="n"/>
      <c r="L432" s="14" t="n"/>
      <c r="M432" s="15" t="n"/>
    </row>
    <row r="433">
      <c r="A433" s="12">
        <f>'Como usar'!$B$4+INT((ROW()-2)/6)</f>
        <v/>
      </c>
      <c r="B433" s="13" t="inlineStr">
        <is>
          <t>Ceia</t>
        </is>
      </c>
      <c r="C433" s="14" t="n"/>
      <c r="D433" s="14" t="n"/>
      <c r="E433" s="15" t="n"/>
      <c r="F433" s="14" t="n"/>
      <c r="G433" s="15" t="n"/>
      <c r="H433" s="16" t="n"/>
      <c r="I433" s="16" t="n"/>
      <c r="J433" s="16" t="n"/>
      <c r="K433" s="14" t="n"/>
      <c r="L433" s="14" t="n"/>
      <c r="M433" s="15" t="n"/>
    </row>
    <row r="434">
      <c r="A434" s="12">
        <f>'Como usar'!$B$4+INT((ROW()-2)/6)</f>
        <v/>
      </c>
      <c r="B434" s="13" t="inlineStr">
        <is>
          <t>Café da manhã</t>
        </is>
      </c>
      <c r="C434" s="14" t="n"/>
      <c r="D434" s="14" t="n"/>
      <c r="E434" s="15" t="n"/>
      <c r="F434" s="14" t="n"/>
      <c r="G434" s="15" t="n"/>
      <c r="H434" s="16" t="n"/>
      <c r="I434" s="16" t="n"/>
      <c r="J434" s="16" t="n"/>
      <c r="K434" s="14" t="n"/>
      <c r="L434" s="14" t="n"/>
      <c r="M434" s="15" t="n"/>
    </row>
    <row r="435">
      <c r="A435" s="12">
        <f>'Como usar'!$B$4+INT((ROW()-2)/6)</f>
        <v/>
      </c>
      <c r="B435" s="13" t="inlineStr">
        <is>
          <t>Lanche</t>
        </is>
      </c>
      <c r="C435" s="14" t="n"/>
      <c r="D435" s="14" t="n"/>
      <c r="E435" s="15" t="n"/>
      <c r="F435" s="14" t="n"/>
      <c r="G435" s="15" t="n"/>
      <c r="H435" s="16" t="n"/>
      <c r="I435" s="16" t="n"/>
      <c r="J435" s="16" t="n"/>
      <c r="K435" s="14" t="n"/>
      <c r="L435" s="14" t="n"/>
      <c r="M435" s="15" t="n"/>
    </row>
    <row r="436">
      <c r="A436" s="12">
        <f>'Como usar'!$B$4+INT((ROW()-2)/6)</f>
        <v/>
      </c>
      <c r="B436" s="13" t="inlineStr">
        <is>
          <t>Almoço</t>
        </is>
      </c>
      <c r="C436" s="14" t="n"/>
      <c r="D436" s="14" t="n"/>
      <c r="E436" s="15" t="n"/>
      <c r="F436" s="14" t="n"/>
      <c r="G436" s="15" t="n"/>
      <c r="H436" s="16" t="n"/>
      <c r="I436" s="16" t="n"/>
      <c r="J436" s="16" t="n"/>
      <c r="K436" s="14" t="n"/>
      <c r="L436" s="14" t="n"/>
      <c r="M436" s="15" t="n"/>
    </row>
    <row r="437">
      <c r="A437" s="12">
        <f>'Como usar'!$B$4+INT((ROW()-2)/6)</f>
        <v/>
      </c>
      <c r="B437" s="13" t="inlineStr">
        <is>
          <t>Café da tarde</t>
        </is>
      </c>
      <c r="C437" s="14" t="n"/>
      <c r="D437" s="14" t="n"/>
      <c r="E437" s="15" t="n"/>
      <c r="F437" s="14" t="n"/>
      <c r="G437" s="15" t="n"/>
      <c r="H437" s="16" t="n"/>
      <c r="I437" s="16" t="n"/>
      <c r="J437" s="16" t="n"/>
      <c r="K437" s="14" t="n"/>
      <c r="L437" s="14" t="n"/>
      <c r="M437" s="15" t="n"/>
    </row>
    <row r="438">
      <c r="A438" s="12">
        <f>'Como usar'!$B$4+INT((ROW()-2)/6)</f>
        <v/>
      </c>
      <c r="B438" s="13" t="inlineStr">
        <is>
          <t>Janta</t>
        </is>
      </c>
      <c r="C438" s="14" t="n"/>
      <c r="D438" s="14" t="n"/>
      <c r="E438" s="15" t="n"/>
      <c r="F438" s="14" t="n"/>
      <c r="G438" s="15" t="n"/>
      <c r="H438" s="16" t="n"/>
      <c r="I438" s="16" t="n"/>
      <c r="J438" s="16" t="n"/>
      <c r="K438" s="14" t="n"/>
      <c r="L438" s="14" t="n"/>
      <c r="M438" s="15" t="n"/>
    </row>
    <row r="439">
      <c r="A439" s="12">
        <f>'Como usar'!$B$4+INT((ROW()-2)/6)</f>
        <v/>
      </c>
      <c r="B439" s="13" t="inlineStr">
        <is>
          <t>Ceia</t>
        </is>
      </c>
      <c r="C439" s="14" t="n"/>
      <c r="D439" s="14" t="n"/>
      <c r="E439" s="15" t="n"/>
      <c r="F439" s="14" t="n"/>
      <c r="G439" s="15" t="n"/>
      <c r="H439" s="16" t="n"/>
      <c r="I439" s="16" t="n"/>
      <c r="J439" s="16" t="n"/>
      <c r="K439" s="14" t="n"/>
      <c r="L439" s="14" t="n"/>
      <c r="M439" s="15" t="n"/>
    </row>
    <row r="440">
      <c r="A440" s="12">
        <f>'Como usar'!$B$4+INT((ROW()-2)/6)</f>
        <v/>
      </c>
      <c r="B440" s="13" t="inlineStr">
        <is>
          <t>Café da manhã</t>
        </is>
      </c>
      <c r="C440" s="14" t="n"/>
      <c r="D440" s="14" t="n"/>
      <c r="E440" s="15" t="n"/>
      <c r="F440" s="14" t="n"/>
      <c r="G440" s="15" t="n"/>
      <c r="H440" s="16" t="n"/>
      <c r="I440" s="16" t="n"/>
      <c r="J440" s="16" t="n"/>
      <c r="K440" s="14" t="n"/>
      <c r="L440" s="14" t="n"/>
      <c r="M440" s="15" t="n"/>
    </row>
    <row r="441">
      <c r="A441" s="12">
        <f>'Como usar'!$B$4+INT((ROW()-2)/6)</f>
        <v/>
      </c>
      <c r="B441" s="13" t="inlineStr">
        <is>
          <t>Lanche</t>
        </is>
      </c>
      <c r="C441" s="14" t="n"/>
      <c r="D441" s="14" t="n"/>
      <c r="E441" s="15" t="n"/>
      <c r="F441" s="14" t="n"/>
      <c r="G441" s="15" t="n"/>
      <c r="H441" s="16" t="n"/>
      <c r="I441" s="16" t="n"/>
      <c r="J441" s="16" t="n"/>
      <c r="K441" s="14" t="n"/>
      <c r="L441" s="14" t="n"/>
      <c r="M441" s="15" t="n"/>
    </row>
    <row r="442">
      <c r="A442" s="12">
        <f>'Como usar'!$B$4+INT((ROW()-2)/6)</f>
        <v/>
      </c>
      <c r="B442" s="13" t="inlineStr">
        <is>
          <t>Almoço</t>
        </is>
      </c>
      <c r="C442" s="14" t="n"/>
      <c r="D442" s="14" t="n"/>
      <c r="E442" s="15" t="n"/>
      <c r="F442" s="14" t="n"/>
      <c r="G442" s="15" t="n"/>
      <c r="H442" s="16" t="n"/>
      <c r="I442" s="16" t="n"/>
      <c r="J442" s="16" t="n"/>
      <c r="K442" s="14" t="n"/>
      <c r="L442" s="14" t="n"/>
      <c r="M442" s="15" t="n"/>
    </row>
    <row r="443">
      <c r="A443" s="12">
        <f>'Como usar'!$B$4+INT((ROW()-2)/6)</f>
        <v/>
      </c>
      <c r="B443" s="13" t="inlineStr">
        <is>
          <t>Café da tarde</t>
        </is>
      </c>
      <c r="C443" s="14" t="n"/>
      <c r="D443" s="14" t="n"/>
      <c r="E443" s="15" t="n"/>
      <c r="F443" s="14" t="n"/>
      <c r="G443" s="15" t="n"/>
      <c r="H443" s="16" t="n"/>
      <c r="I443" s="16" t="n"/>
      <c r="J443" s="16" t="n"/>
      <c r="K443" s="14" t="n"/>
      <c r="L443" s="14" t="n"/>
      <c r="M443" s="15" t="n"/>
    </row>
    <row r="444">
      <c r="A444" s="12">
        <f>'Como usar'!$B$4+INT((ROW()-2)/6)</f>
        <v/>
      </c>
      <c r="B444" s="13" t="inlineStr">
        <is>
          <t>Janta</t>
        </is>
      </c>
      <c r="C444" s="14" t="n"/>
      <c r="D444" s="14" t="n"/>
      <c r="E444" s="15" t="n"/>
      <c r="F444" s="14" t="n"/>
      <c r="G444" s="15" t="n"/>
      <c r="H444" s="16" t="n"/>
      <c r="I444" s="16" t="n"/>
      <c r="J444" s="16" t="n"/>
      <c r="K444" s="14" t="n"/>
      <c r="L444" s="14" t="n"/>
      <c r="M444" s="15" t="n"/>
    </row>
    <row r="445">
      <c r="A445" s="12">
        <f>'Como usar'!$B$4+INT((ROW()-2)/6)</f>
        <v/>
      </c>
      <c r="B445" s="13" t="inlineStr">
        <is>
          <t>Ceia</t>
        </is>
      </c>
      <c r="C445" s="14" t="n"/>
      <c r="D445" s="14" t="n"/>
      <c r="E445" s="15" t="n"/>
      <c r="F445" s="14" t="n"/>
      <c r="G445" s="15" t="n"/>
      <c r="H445" s="16" t="n"/>
      <c r="I445" s="16" t="n"/>
      <c r="J445" s="16" t="n"/>
      <c r="K445" s="14" t="n"/>
      <c r="L445" s="14" t="n"/>
      <c r="M445" s="15" t="n"/>
    </row>
    <row r="446">
      <c r="A446" s="12">
        <f>'Como usar'!$B$4+INT((ROW()-2)/6)</f>
        <v/>
      </c>
      <c r="B446" s="13" t="inlineStr">
        <is>
          <t>Café da manhã</t>
        </is>
      </c>
      <c r="C446" s="14" t="n"/>
      <c r="D446" s="14" t="n"/>
      <c r="E446" s="15" t="n"/>
      <c r="F446" s="14" t="n"/>
      <c r="G446" s="15" t="n"/>
      <c r="H446" s="16" t="n"/>
      <c r="I446" s="16" t="n"/>
      <c r="J446" s="16" t="n"/>
      <c r="K446" s="14" t="n"/>
      <c r="L446" s="14" t="n"/>
      <c r="M446" s="15" t="n"/>
    </row>
    <row r="447">
      <c r="A447" s="12">
        <f>'Como usar'!$B$4+INT((ROW()-2)/6)</f>
        <v/>
      </c>
      <c r="B447" s="13" t="inlineStr">
        <is>
          <t>Lanche</t>
        </is>
      </c>
      <c r="C447" s="14" t="n"/>
      <c r="D447" s="14" t="n"/>
      <c r="E447" s="15" t="n"/>
      <c r="F447" s="14" t="n"/>
      <c r="G447" s="15" t="n"/>
      <c r="H447" s="16" t="n"/>
      <c r="I447" s="16" t="n"/>
      <c r="J447" s="16" t="n"/>
      <c r="K447" s="14" t="n"/>
      <c r="L447" s="14" t="n"/>
      <c r="M447" s="15" t="n"/>
    </row>
    <row r="448">
      <c r="A448" s="12">
        <f>'Como usar'!$B$4+INT((ROW()-2)/6)</f>
        <v/>
      </c>
      <c r="B448" s="13" t="inlineStr">
        <is>
          <t>Almoço</t>
        </is>
      </c>
      <c r="C448" s="14" t="n"/>
      <c r="D448" s="14" t="n"/>
      <c r="E448" s="15" t="n"/>
      <c r="F448" s="14" t="n"/>
      <c r="G448" s="15" t="n"/>
      <c r="H448" s="16" t="n"/>
      <c r="I448" s="16" t="n"/>
      <c r="J448" s="16" t="n"/>
      <c r="K448" s="14" t="n"/>
      <c r="L448" s="14" t="n"/>
      <c r="M448" s="15" t="n"/>
    </row>
    <row r="449">
      <c r="A449" s="12">
        <f>'Como usar'!$B$4+INT((ROW()-2)/6)</f>
        <v/>
      </c>
      <c r="B449" s="13" t="inlineStr">
        <is>
          <t>Café da tarde</t>
        </is>
      </c>
      <c r="C449" s="14" t="n"/>
      <c r="D449" s="14" t="n"/>
      <c r="E449" s="15" t="n"/>
      <c r="F449" s="14" t="n"/>
      <c r="G449" s="15" t="n"/>
      <c r="H449" s="16" t="n"/>
      <c r="I449" s="16" t="n"/>
      <c r="J449" s="16" t="n"/>
      <c r="K449" s="14" t="n"/>
      <c r="L449" s="14" t="n"/>
      <c r="M449" s="15" t="n"/>
    </row>
    <row r="450">
      <c r="A450" s="12">
        <f>'Como usar'!$B$4+INT((ROW()-2)/6)</f>
        <v/>
      </c>
      <c r="B450" s="13" t="inlineStr">
        <is>
          <t>Janta</t>
        </is>
      </c>
      <c r="C450" s="14" t="n"/>
      <c r="D450" s="14" t="n"/>
      <c r="E450" s="15" t="n"/>
      <c r="F450" s="14" t="n"/>
      <c r="G450" s="15" t="n"/>
      <c r="H450" s="16" t="n"/>
      <c r="I450" s="16" t="n"/>
      <c r="J450" s="16" t="n"/>
      <c r="K450" s="14" t="n"/>
      <c r="L450" s="14" t="n"/>
      <c r="M450" s="15" t="n"/>
    </row>
    <row r="451">
      <c r="A451" s="12">
        <f>'Como usar'!$B$4+INT((ROW()-2)/6)</f>
        <v/>
      </c>
      <c r="B451" s="13" t="inlineStr">
        <is>
          <t>Ceia</t>
        </is>
      </c>
      <c r="C451" s="14" t="n"/>
      <c r="D451" s="14" t="n"/>
      <c r="E451" s="15" t="n"/>
      <c r="F451" s="14" t="n"/>
      <c r="G451" s="15" t="n"/>
      <c r="H451" s="16" t="n"/>
      <c r="I451" s="16" t="n"/>
      <c r="J451" s="16" t="n"/>
      <c r="K451" s="14" t="n"/>
      <c r="L451" s="14" t="n"/>
      <c r="M451" s="15" t="n"/>
    </row>
    <row r="452">
      <c r="A452" s="12">
        <f>'Como usar'!$B$4+INT((ROW()-2)/6)</f>
        <v/>
      </c>
      <c r="B452" s="13" t="inlineStr">
        <is>
          <t>Café da manhã</t>
        </is>
      </c>
      <c r="C452" s="14" t="n"/>
      <c r="D452" s="14" t="n"/>
      <c r="E452" s="15" t="n"/>
      <c r="F452" s="14" t="n"/>
      <c r="G452" s="15" t="n"/>
      <c r="H452" s="16" t="n"/>
      <c r="I452" s="16" t="n"/>
      <c r="J452" s="16" t="n"/>
      <c r="K452" s="14" t="n"/>
      <c r="L452" s="14" t="n"/>
      <c r="M452" s="15" t="n"/>
    </row>
    <row r="453">
      <c r="A453" s="12">
        <f>'Como usar'!$B$4+INT((ROW()-2)/6)</f>
        <v/>
      </c>
      <c r="B453" s="13" t="inlineStr">
        <is>
          <t>Lanche</t>
        </is>
      </c>
      <c r="C453" s="14" t="n"/>
      <c r="D453" s="14" t="n"/>
      <c r="E453" s="15" t="n"/>
      <c r="F453" s="14" t="n"/>
      <c r="G453" s="15" t="n"/>
      <c r="H453" s="16" t="n"/>
      <c r="I453" s="16" t="n"/>
      <c r="J453" s="16" t="n"/>
      <c r="K453" s="14" t="n"/>
      <c r="L453" s="14" t="n"/>
      <c r="M453" s="15" t="n"/>
    </row>
    <row r="454">
      <c r="A454" s="12">
        <f>'Como usar'!$B$4+INT((ROW()-2)/6)</f>
        <v/>
      </c>
      <c r="B454" s="13" t="inlineStr">
        <is>
          <t>Almoço</t>
        </is>
      </c>
      <c r="C454" s="14" t="n"/>
      <c r="D454" s="14" t="n"/>
      <c r="E454" s="15" t="n"/>
      <c r="F454" s="14" t="n"/>
      <c r="G454" s="15" t="n"/>
      <c r="H454" s="16" t="n"/>
      <c r="I454" s="16" t="n"/>
      <c r="J454" s="16" t="n"/>
      <c r="K454" s="14" t="n"/>
      <c r="L454" s="14" t="n"/>
      <c r="M454" s="15" t="n"/>
    </row>
    <row r="455">
      <c r="A455" s="12">
        <f>'Como usar'!$B$4+INT((ROW()-2)/6)</f>
        <v/>
      </c>
      <c r="B455" s="13" t="inlineStr">
        <is>
          <t>Café da tarde</t>
        </is>
      </c>
      <c r="C455" s="14" t="n"/>
      <c r="D455" s="14" t="n"/>
      <c r="E455" s="15" t="n"/>
      <c r="F455" s="14" t="n"/>
      <c r="G455" s="15" t="n"/>
      <c r="H455" s="16" t="n"/>
      <c r="I455" s="16" t="n"/>
      <c r="J455" s="16" t="n"/>
      <c r="K455" s="14" t="n"/>
      <c r="L455" s="14" t="n"/>
      <c r="M455" s="15" t="n"/>
    </row>
    <row r="456">
      <c r="A456" s="12">
        <f>'Como usar'!$B$4+INT((ROW()-2)/6)</f>
        <v/>
      </c>
      <c r="B456" s="13" t="inlineStr">
        <is>
          <t>Janta</t>
        </is>
      </c>
      <c r="C456" s="14" t="n"/>
      <c r="D456" s="14" t="n"/>
      <c r="E456" s="15" t="n"/>
      <c r="F456" s="14" t="n"/>
      <c r="G456" s="15" t="n"/>
      <c r="H456" s="16" t="n"/>
      <c r="I456" s="16" t="n"/>
      <c r="J456" s="16" t="n"/>
      <c r="K456" s="14" t="n"/>
      <c r="L456" s="14" t="n"/>
      <c r="M456" s="15" t="n"/>
    </row>
    <row r="457">
      <c r="A457" s="12">
        <f>'Como usar'!$B$4+INT((ROW()-2)/6)</f>
        <v/>
      </c>
      <c r="B457" s="13" t="inlineStr">
        <is>
          <t>Ceia</t>
        </is>
      </c>
      <c r="C457" s="14" t="n"/>
      <c r="D457" s="14" t="n"/>
      <c r="E457" s="15" t="n"/>
      <c r="F457" s="14" t="n"/>
      <c r="G457" s="15" t="n"/>
      <c r="H457" s="16" t="n"/>
      <c r="I457" s="16" t="n"/>
      <c r="J457" s="16" t="n"/>
      <c r="K457" s="14" t="n"/>
      <c r="L457" s="14" t="n"/>
      <c r="M457" s="15" t="n"/>
    </row>
    <row r="458">
      <c r="A458" s="12">
        <f>'Como usar'!$B$4+INT((ROW()-2)/6)</f>
        <v/>
      </c>
      <c r="B458" s="13" t="inlineStr">
        <is>
          <t>Café da manhã</t>
        </is>
      </c>
      <c r="C458" s="14" t="n"/>
      <c r="D458" s="14" t="n"/>
      <c r="E458" s="15" t="n"/>
      <c r="F458" s="14" t="n"/>
      <c r="G458" s="15" t="n"/>
      <c r="H458" s="16" t="n"/>
      <c r="I458" s="16" t="n"/>
      <c r="J458" s="16" t="n"/>
      <c r="K458" s="14" t="n"/>
      <c r="L458" s="14" t="n"/>
      <c r="M458" s="15" t="n"/>
    </row>
    <row r="459">
      <c r="A459" s="12">
        <f>'Como usar'!$B$4+INT((ROW()-2)/6)</f>
        <v/>
      </c>
      <c r="B459" s="13" t="inlineStr">
        <is>
          <t>Lanche</t>
        </is>
      </c>
      <c r="C459" s="14" t="n"/>
      <c r="D459" s="14" t="n"/>
      <c r="E459" s="15" t="n"/>
      <c r="F459" s="14" t="n"/>
      <c r="G459" s="15" t="n"/>
      <c r="H459" s="16" t="n"/>
      <c r="I459" s="16" t="n"/>
      <c r="J459" s="16" t="n"/>
      <c r="K459" s="14" t="n"/>
      <c r="L459" s="14" t="n"/>
      <c r="M459" s="15" t="n"/>
    </row>
    <row r="460">
      <c r="A460" s="12">
        <f>'Como usar'!$B$4+INT((ROW()-2)/6)</f>
        <v/>
      </c>
      <c r="B460" s="13" t="inlineStr">
        <is>
          <t>Almoço</t>
        </is>
      </c>
      <c r="C460" s="14" t="n"/>
      <c r="D460" s="14" t="n"/>
      <c r="E460" s="15" t="n"/>
      <c r="F460" s="14" t="n"/>
      <c r="G460" s="15" t="n"/>
      <c r="H460" s="16" t="n"/>
      <c r="I460" s="16" t="n"/>
      <c r="J460" s="16" t="n"/>
      <c r="K460" s="14" t="n"/>
      <c r="L460" s="14" t="n"/>
      <c r="M460" s="15" t="n"/>
    </row>
    <row r="461">
      <c r="A461" s="12">
        <f>'Como usar'!$B$4+INT((ROW()-2)/6)</f>
        <v/>
      </c>
      <c r="B461" s="13" t="inlineStr">
        <is>
          <t>Café da tarde</t>
        </is>
      </c>
      <c r="C461" s="14" t="n"/>
      <c r="D461" s="14" t="n"/>
      <c r="E461" s="15" t="n"/>
      <c r="F461" s="14" t="n"/>
      <c r="G461" s="15" t="n"/>
      <c r="H461" s="16" t="n"/>
      <c r="I461" s="16" t="n"/>
      <c r="J461" s="16" t="n"/>
      <c r="K461" s="14" t="n"/>
      <c r="L461" s="14" t="n"/>
      <c r="M461" s="15" t="n"/>
    </row>
    <row r="462">
      <c r="A462" s="12">
        <f>'Como usar'!$B$4+INT((ROW()-2)/6)</f>
        <v/>
      </c>
      <c r="B462" s="13" t="inlineStr">
        <is>
          <t>Janta</t>
        </is>
      </c>
      <c r="C462" s="14" t="n"/>
      <c r="D462" s="14" t="n"/>
      <c r="E462" s="15" t="n"/>
      <c r="F462" s="14" t="n"/>
      <c r="G462" s="15" t="n"/>
      <c r="H462" s="16" t="n"/>
      <c r="I462" s="16" t="n"/>
      <c r="J462" s="16" t="n"/>
      <c r="K462" s="14" t="n"/>
      <c r="L462" s="14" t="n"/>
      <c r="M462" s="15" t="n"/>
    </row>
    <row r="463">
      <c r="A463" s="12">
        <f>'Como usar'!$B$4+INT((ROW()-2)/6)</f>
        <v/>
      </c>
      <c r="B463" s="13" t="inlineStr">
        <is>
          <t>Ceia</t>
        </is>
      </c>
      <c r="C463" s="14" t="n"/>
      <c r="D463" s="14" t="n"/>
      <c r="E463" s="15" t="n"/>
      <c r="F463" s="14" t="n"/>
      <c r="G463" s="15" t="n"/>
      <c r="H463" s="16" t="n"/>
      <c r="I463" s="16" t="n"/>
      <c r="J463" s="16" t="n"/>
      <c r="K463" s="14" t="n"/>
      <c r="L463" s="14" t="n"/>
      <c r="M463" s="15" t="n"/>
    </row>
    <row r="464">
      <c r="A464" s="12">
        <f>'Como usar'!$B$4+INT((ROW()-2)/6)</f>
        <v/>
      </c>
      <c r="B464" s="13" t="inlineStr">
        <is>
          <t>Café da manhã</t>
        </is>
      </c>
      <c r="C464" s="14" t="n"/>
      <c r="D464" s="14" t="n"/>
      <c r="E464" s="15" t="n"/>
      <c r="F464" s="14" t="n"/>
      <c r="G464" s="15" t="n"/>
      <c r="H464" s="16" t="n"/>
      <c r="I464" s="16" t="n"/>
      <c r="J464" s="16" t="n"/>
      <c r="K464" s="14" t="n"/>
      <c r="L464" s="14" t="n"/>
      <c r="M464" s="15" t="n"/>
    </row>
    <row r="465">
      <c r="A465" s="12">
        <f>'Como usar'!$B$4+INT((ROW()-2)/6)</f>
        <v/>
      </c>
      <c r="B465" s="13" t="inlineStr">
        <is>
          <t>Lanche</t>
        </is>
      </c>
      <c r="C465" s="14" t="n"/>
      <c r="D465" s="14" t="n"/>
      <c r="E465" s="15" t="n"/>
      <c r="F465" s="14" t="n"/>
      <c r="G465" s="15" t="n"/>
      <c r="H465" s="16" t="n"/>
      <c r="I465" s="16" t="n"/>
      <c r="J465" s="16" t="n"/>
      <c r="K465" s="14" t="n"/>
      <c r="L465" s="14" t="n"/>
      <c r="M465" s="15" t="n"/>
    </row>
    <row r="466">
      <c r="A466" s="12">
        <f>'Como usar'!$B$4+INT((ROW()-2)/6)</f>
        <v/>
      </c>
      <c r="B466" s="13" t="inlineStr">
        <is>
          <t>Almoço</t>
        </is>
      </c>
      <c r="C466" s="14" t="n"/>
      <c r="D466" s="14" t="n"/>
      <c r="E466" s="15" t="n"/>
      <c r="F466" s="14" t="n"/>
      <c r="G466" s="15" t="n"/>
      <c r="H466" s="16" t="n"/>
      <c r="I466" s="16" t="n"/>
      <c r="J466" s="16" t="n"/>
      <c r="K466" s="14" t="n"/>
      <c r="L466" s="14" t="n"/>
      <c r="M466" s="15" t="n"/>
    </row>
    <row r="467">
      <c r="A467" s="12">
        <f>'Como usar'!$B$4+INT((ROW()-2)/6)</f>
        <v/>
      </c>
      <c r="B467" s="13" t="inlineStr">
        <is>
          <t>Café da tarde</t>
        </is>
      </c>
      <c r="C467" s="14" t="n"/>
      <c r="D467" s="14" t="n"/>
      <c r="E467" s="15" t="n"/>
      <c r="F467" s="14" t="n"/>
      <c r="G467" s="15" t="n"/>
      <c r="H467" s="16" t="n"/>
      <c r="I467" s="16" t="n"/>
      <c r="J467" s="16" t="n"/>
      <c r="K467" s="14" t="n"/>
      <c r="L467" s="14" t="n"/>
      <c r="M467" s="15" t="n"/>
    </row>
    <row r="468">
      <c r="A468" s="12">
        <f>'Como usar'!$B$4+INT((ROW()-2)/6)</f>
        <v/>
      </c>
      <c r="B468" s="13" t="inlineStr">
        <is>
          <t>Janta</t>
        </is>
      </c>
      <c r="C468" s="14" t="n"/>
      <c r="D468" s="14" t="n"/>
      <c r="E468" s="15" t="n"/>
      <c r="F468" s="14" t="n"/>
      <c r="G468" s="15" t="n"/>
      <c r="H468" s="16" t="n"/>
      <c r="I468" s="16" t="n"/>
      <c r="J468" s="16" t="n"/>
      <c r="K468" s="14" t="n"/>
      <c r="L468" s="14" t="n"/>
      <c r="M468" s="15" t="n"/>
    </row>
    <row r="469">
      <c r="A469" s="12">
        <f>'Como usar'!$B$4+INT((ROW()-2)/6)</f>
        <v/>
      </c>
      <c r="B469" s="13" t="inlineStr">
        <is>
          <t>Ceia</t>
        </is>
      </c>
      <c r="C469" s="14" t="n"/>
      <c r="D469" s="14" t="n"/>
      <c r="E469" s="15" t="n"/>
      <c r="F469" s="14" t="n"/>
      <c r="G469" s="15" t="n"/>
      <c r="H469" s="16" t="n"/>
      <c r="I469" s="16" t="n"/>
      <c r="J469" s="16" t="n"/>
      <c r="K469" s="14" t="n"/>
      <c r="L469" s="14" t="n"/>
      <c r="M469" s="15" t="n"/>
    </row>
    <row r="470">
      <c r="A470" s="12">
        <f>'Como usar'!$B$4+INT((ROW()-2)/6)</f>
        <v/>
      </c>
      <c r="B470" s="13" t="inlineStr">
        <is>
          <t>Café da manhã</t>
        </is>
      </c>
      <c r="C470" s="14" t="n"/>
      <c r="D470" s="14" t="n"/>
      <c r="E470" s="15" t="n"/>
      <c r="F470" s="14" t="n"/>
      <c r="G470" s="15" t="n"/>
      <c r="H470" s="16" t="n"/>
      <c r="I470" s="16" t="n"/>
      <c r="J470" s="16" t="n"/>
      <c r="K470" s="14" t="n"/>
      <c r="L470" s="14" t="n"/>
      <c r="M470" s="15" t="n"/>
    </row>
    <row r="471">
      <c r="A471" s="12">
        <f>'Como usar'!$B$4+INT((ROW()-2)/6)</f>
        <v/>
      </c>
      <c r="B471" s="13" t="inlineStr">
        <is>
          <t>Lanche</t>
        </is>
      </c>
      <c r="C471" s="14" t="n"/>
      <c r="D471" s="14" t="n"/>
      <c r="E471" s="15" t="n"/>
      <c r="F471" s="14" t="n"/>
      <c r="G471" s="15" t="n"/>
      <c r="H471" s="16" t="n"/>
      <c r="I471" s="16" t="n"/>
      <c r="J471" s="16" t="n"/>
      <c r="K471" s="14" t="n"/>
      <c r="L471" s="14" t="n"/>
      <c r="M471" s="15" t="n"/>
    </row>
    <row r="472">
      <c r="A472" s="12">
        <f>'Como usar'!$B$4+INT((ROW()-2)/6)</f>
        <v/>
      </c>
      <c r="B472" s="13" t="inlineStr">
        <is>
          <t>Almoço</t>
        </is>
      </c>
      <c r="C472" s="14" t="n"/>
      <c r="D472" s="14" t="n"/>
      <c r="E472" s="15" t="n"/>
      <c r="F472" s="14" t="n"/>
      <c r="G472" s="15" t="n"/>
      <c r="H472" s="16" t="n"/>
      <c r="I472" s="16" t="n"/>
      <c r="J472" s="16" t="n"/>
      <c r="K472" s="14" t="n"/>
      <c r="L472" s="14" t="n"/>
      <c r="M472" s="15" t="n"/>
    </row>
    <row r="473">
      <c r="A473" s="12">
        <f>'Como usar'!$B$4+INT((ROW()-2)/6)</f>
        <v/>
      </c>
      <c r="B473" s="13" t="inlineStr">
        <is>
          <t>Café da tarde</t>
        </is>
      </c>
      <c r="C473" s="14" t="n"/>
      <c r="D473" s="14" t="n"/>
      <c r="E473" s="15" t="n"/>
      <c r="F473" s="14" t="n"/>
      <c r="G473" s="15" t="n"/>
      <c r="H473" s="16" t="n"/>
      <c r="I473" s="16" t="n"/>
      <c r="J473" s="16" t="n"/>
      <c r="K473" s="14" t="n"/>
      <c r="L473" s="14" t="n"/>
      <c r="M473" s="15" t="n"/>
    </row>
    <row r="474">
      <c r="A474" s="12">
        <f>'Como usar'!$B$4+INT((ROW()-2)/6)</f>
        <v/>
      </c>
      <c r="B474" s="13" t="inlineStr">
        <is>
          <t>Janta</t>
        </is>
      </c>
      <c r="C474" s="14" t="n"/>
      <c r="D474" s="14" t="n"/>
      <c r="E474" s="15" t="n"/>
      <c r="F474" s="14" t="n"/>
      <c r="G474" s="15" t="n"/>
      <c r="H474" s="16" t="n"/>
      <c r="I474" s="16" t="n"/>
      <c r="J474" s="16" t="n"/>
      <c r="K474" s="14" t="n"/>
      <c r="L474" s="14" t="n"/>
      <c r="M474" s="15" t="n"/>
    </row>
    <row r="475">
      <c r="A475" s="12">
        <f>'Como usar'!$B$4+INT((ROW()-2)/6)</f>
        <v/>
      </c>
      <c r="B475" s="13" t="inlineStr">
        <is>
          <t>Ceia</t>
        </is>
      </c>
      <c r="C475" s="14" t="n"/>
      <c r="D475" s="14" t="n"/>
      <c r="E475" s="15" t="n"/>
      <c r="F475" s="14" t="n"/>
      <c r="G475" s="15" t="n"/>
      <c r="H475" s="16" t="n"/>
      <c r="I475" s="16" t="n"/>
      <c r="J475" s="16" t="n"/>
      <c r="K475" s="14" t="n"/>
      <c r="L475" s="14" t="n"/>
      <c r="M475" s="15" t="n"/>
    </row>
    <row r="476">
      <c r="A476" s="12">
        <f>'Como usar'!$B$4+INT((ROW()-2)/6)</f>
        <v/>
      </c>
      <c r="B476" s="13" t="inlineStr">
        <is>
          <t>Café da manhã</t>
        </is>
      </c>
      <c r="C476" s="14" t="n"/>
      <c r="D476" s="14" t="n"/>
      <c r="E476" s="15" t="n"/>
      <c r="F476" s="14" t="n"/>
      <c r="G476" s="15" t="n"/>
      <c r="H476" s="16" t="n"/>
      <c r="I476" s="16" t="n"/>
      <c r="J476" s="16" t="n"/>
      <c r="K476" s="14" t="n"/>
      <c r="L476" s="14" t="n"/>
      <c r="M476" s="15" t="n"/>
    </row>
    <row r="477">
      <c r="A477" s="12">
        <f>'Como usar'!$B$4+INT((ROW()-2)/6)</f>
        <v/>
      </c>
      <c r="B477" s="13" t="inlineStr">
        <is>
          <t>Lanche</t>
        </is>
      </c>
      <c r="C477" s="14" t="n"/>
      <c r="D477" s="14" t="n"/>
      <c r="E477" s="15" t="n"/>
      <c r="F477" s="14" t="n"/>
      <c r="G477" s="15" t="n"/>
      <c r="H477" s="16" t="n"/>
      <c r="I477" s="16" t="n"/>
      <c r="J477" s="16" t="n"/>
      <c r="K477" s="14" t="n"/>
      <c r="L477" s="14" t="n"/>
      <c r="M477" s="15" t="n"/>
    </row>
    <row r="478">
      <c r="A478" s="12">
        <f>'Como usar'!$B$4+INT((ROW()-2)/6)</f>
        <v/>
      </c>
      <c r="B478" s="13" t="inlineStr">
        <is>
          <t>Almoço</t>
        </is>
      </c>
      <c r="C478" s="14" t="n"/>
      <c r="D478" s="14" t="n"/>
      <c r="E478" s="15" t="n"/>
      <c r="F478" s="14" t="n"/>
      <c r="G478" s="15" t="n"/>
      <c r="H478" s="16" t="n"/>
      <c r="I478" s="16" t="n"/>
      <c r="J478" s="16" t="n"/>
      <c r="K478" s="14" t="n"/>
      <c r="L478" s="14" t="n"/>
      <c r="M478" s="15" t="n"/>
    </row>
    <row r="479">
      <c r="A479" s="12">
        <f>'Como usar'!$B$4+INT((ROW()-2)/6)</f>
        <v/>
      </c>
      <c r="B479" s="13" t="inlineStr">
        <is>
          <t>Café da tarde</t>
        </is>
      </c>
      <c r="C479" s="14" t="n"/>
      <c r="D479" s="14" t="n"/>
      <c r="E479" s="15" t="n"/>
      <c r="F479" s="14" t="n"/>
      <c r="G479" s="15" t="n"/>
      <c r="H479" s="16" t="n"/>
      <c r="I479" s="16" t="n"/>
      <c r="J479" s="16" t="n"/>
      <c r="K479" s="14" t="n"/>
      <c r="L479" s="14" t="n"/>
      <c r="M479" s="15" t="n"/>
    </row>
    <row r="480">
      <c r="A480" s="12">
        <f>'Como usar'!$B$4+INT((ROW()-2)/6)</f>
        <v/>
      </c>
      <c r="B480" s="13" t="inlineStr">
        <is>
          <t>Janta</t>
        </is>
      </c>
      <c r="C480" s="14" t="n"/>
      <c r="D480" s="14" t="n"/>
      <c r="E480" s="15" t="n"/>
      <c r="F480" s="14" t="n"/>
      <c r="G480" s="15" t="n"/>
      <c r="H480" s="16" t="n"/>
      <c r="I480" s="16" t="n"/>
      <c r="J480" s="16" t="n"/>
      <c r="K480" s="14" t="n"/>
      <c r="L480" s="14" t="n"/>
      <c r="M480" s="15" t="n"/>
    </row>
    <row r="481">
      <c r="A481" s="12">
        <f>'Como usar'!$B$4+INT((ROW()-2)/6)</f>
        <v/>
      </c>
      <c r="B481" s="13" t="inlineStr">
        <is>
          <t>Ceia</t>
        </is>
      </c>
      <c r="C481" s="14" t="n"/>
      <c r="D481" s="14" t="n"/>
      <c r="E481" s="15" t="n"/>
      <c r="F481" s="14" t="n"/>
      <c r="G481" s="15" t="n"/>
      <c r="H481" s="16" t="n"/>
      <c r="I481" s="16" t="n"/>
      <c r="J481" s="16" t="n"/>
      <c r="K481" s="14" t="n"/>
      <c r="L481" s="14" t="n"/>
      <c r="M481" s="15" t="n"/>
    </row>
    <row r="482">
      <c r="A482" s="12">
        <f>'Como usar'!$B$4+INT((ROW()-2)/6)</f>
        <v/>
      </c>
      <c r="B482" s="13" t="inlineStr">
        <is>
          <t>Café da manhã</t>
        </is>
      </c>
      <c r="C482" s="14" t="n"/>
      <c r="D482" s="14" t="n"/>
      <c r="E482" s="15" t="n"/>
      <c r="F482" s="14" t="n"/>
      <c r="G482" s="15" t="n"/>
      <c r="H482" s="16" t="n"/>
      <c r="I482" s="16" t="n"/>
      <c r="J482" s="16" t="n"/>
      <c r="K482" s="14" t="n"/>
      <c r="L482" s="14" t="n"/>
      <c r="M482" s="15" t="n"/>
    </row>
    <row r="483">
      <c r="A483" s="12">
        <f>'Como usar'!$B$4+INT((ROW()-2)/6)</f>
        <v/>
      </c>
      <c r="B483" s="13" t="inlineStr">
        <is>
          <t>Lanche</t>
        </is>
      </c>
      <c r="C483" s="14" t="n"/>
      <c r="D483" s="14" t="n"/>
      <c r="E483" s="15" t="n"/>
      <c r="F483" s="14" t="n"/>
      <c r="G483" s="15" t="n"/>
      <c r="H483" s="16" t="n"/>
      <c r="I483" s="16" t="n"/>
      <c r="J483" s="16" t="n"/>
      <c r="K483" s="14" t="n"/>
      <c r="L483" s="14" t="n"/>
      <c r="M483" s="15" t="n"/>
    </row>
    <row r="484">
      <c r="A484" s="12">
        <f>'Como usar'!$B$4+INT((ROW()-2)/6)</f>
        <v/>
      </c>
      <c r="B484" s="13" t="inlineStr">
        <is>
          <t>Almoço</t>
        </is>
      </c>
      <c r="C484" s="14" t="n"/>
      <c r="D484" s="14" t="n"/>
      <c r="E484" s="15" t="n"/>
      <c r="F484" s="14" t="n"/>
      <c r="G484" s="15" t="n"/>
      <c r="H484" s="16" t="n"/>
      <c r="I484" s="16" t="n"/>
      <c r="J484" s="16" t="n"/>
      <c r="K484" s="14" t="n"/>
      <c r="L484" s="14" t="n"/>
      <c r="M484" s="15" t="n"/>
    </row>
    <row r="485">
      <c r="A485" s="12">
        <f>'Como usar'!$B$4+INT((ROW()-2)/6)</f>
        <v/>
      </c>
      <c r="B485" s="13" t="inlineStr">
        <is>
          <t>Café da tarde</t>
        </is>
      </c>
      <c r="C485" s="14" t="n"/>
      <c r="D485" s="14" t="n"/>
      <c r="E485" s="15" t="n"/>
      <c r="F485" s="14" t="n"/>
      <c r="G485" s="15" t="n"/>
      <c r="H485" s="16" t="n"/>
      <c r="I485" s="16" t="n"/>
      <c r="J485" s="16" t="n"/>
      <c r="K485" s="14" t="n"/>
      <c r="L485" s="14" t="n"/>
      <c r="M485" s="15" t="n"/>
    </row>
    <row r="486">
      <c r="A486" s="12">
        <f>'Como usar'!$B$4+INT((ROW()-2)/6)</f>
        <v/>
      </c>
      <c r="B486" s="13" t="inlineStr">
        <is>
          <t>Janta</t>
        </is>
      </c>
      <c r="C486" s="14" t="n"/>
      <c r="D486" s="14" t="n"/>
      <c r="E486" s="15" t="n"/>
      <c r="F486" s="14" t="n"/>
      <c r="G486" s="15" t="n"/>
      <c r="H486" s="16" t="n"/>
      <c r="I486" s="16" t="n"/>
      <c r="J486" s="16" t="n"/>
      <c r="K486" s="14" t="n"/>
      <c r="L486" s="14" t="n"/>
      <c r="M486" s="15" t="n"/>
    </row>
    <row r="487">
      <c r="A487" s="12">
        <f>'Como usar'!$B$4+INT((ROW()-2)/6)</f>
        <v/>
      </c>
      <c r="B487" s="13" t="inlineStr">
        <is>
          <t>Ceia</t>
        </is>
      </c>
      <c r="C487" s="14" t="n"/>
      <c r="D487" s="14" t="n"/>
      <c r="E487" s="15" t="n"/>
      <c r="F487" s="14" t="n"/>
      <c r="G487" s="15" t="n"/>
      <c r="H487" s="16" t="n"/>
      <c r="I487" s="16" t="n"/>
      <c r="J487" s="16" t="n"/>
      <c r="K487" s="14" t="n"/>
      <c r="L487" s="14" t="n"/>
      <c r="M487" s="15" t="n"/>
    </row>
    <row r="488">
      <c r="A488" s="12">
        <f>'Como usar'!$B$4+INT((ROW()-2)/6)</f>
        <v/>
      </c>
      <c r="B488" s="13" t="inlineStr">
        <is>
          <t>Café da manhã</t>
        </is>
      </c>
      <c r="C488" s="14" t="n"/>
      <c r="D488" s="14" t="n"/>
      <c r="E488" s="15" t="n"/>
      <c r="F488" s="14" t="n"/>
      <c r="G488" s="15" t="n"/>
      <c r="H488" s="16" t="n"/>
      <c r="I488" s="16" t="n"/>
      <c r="J488" s="16" t="n"/>
      <c r="K488" s="14" t="n"/>
      <c r="L488" s="14" t="n"/>
      <c r="M488" s="15" t="n"/>
    </row>
    <row r="489">
      <c r="A489" s="12">
        <f>'Como usar'!$B$4+INT((ROW()-2)/6)</f>
        <v/>
      </c>
      <c r="B489" s="13" t="inlineStr">
        <is>
          <t>Lanche</t>
        </is>
      </c>
      <c r="C489" s="14" t="n"/>
      <c r="D489" s="14" t="n"/>
      <c r="E489" s="15" t="n"/>
      <c r="F489" s="14" t="n"/>
      <c r="G489" s="15" t="n"/>
      <c r="H489" s="16" t="n"/>
      <c r="I489" s="16" t="n"/>
      <c r="J489" s="16" t="n"/>
      <c r="K489" s="14" t="n"/>
      <c r="L489" s="14" t="n"/>
      <c r="M489" s="15" t="n"/>
    </row>
    <row r="490">
      <c r="A490" s="12">
        <f>'Como usar'!$B$4+INT((ROW()-2)/6)</f>
        <v/>
      </c>
      <c r="B490" s="13" t="inlineStr">
        <is>
          <t>Almoço</t>
        </is>
      </c>
      <c r="C490" s="14" t="n"/>
      <c r="D490" s="14" t="n"/>
      <c r="E490" s="15" t="n"/>
      <c r="F490" s="14" t="n"/>
      <c r="G490" s="15" t="n"/>
      <c r="H490" s="16" t="n"/>
      <c r="I490" s="16" t="n"/>
      <c r="J490" s="16" t="n"/>
      <c r="K490" s="14" t="n"/>
      <c r="L490" s="14" t="n"/>
      <c r="M490" s="15" t="n"/>
    </row>
    <row r="491">
      <c r="A491" s="12">
        <f>'Como usar'!$B$4+INT((ROW()-2)/6)</f>
        <v/>
      </c>
      <c r="B491" s="13" t="inlineStr">
        <is>
          <t>Café da tarde</t>
        </is>
      </c>
      <c r="C491" s="14" t="n"/>
      <c r="D491" s="14" t="n"/>
      <c r="E491" s="15" t="n"/>
      <c r="F491" s="14" t="n"/>
      <c r="G491" s="15" t="n"/>
      <c r="H491" s="16" t="n"/>
      <c r="I491" s="16" t="n"/>
      <c r="J491" s="16" t="n"/>
      <c r="K491" s="14" t="n"/>
      <c r="L491" s="14" t="n"/>
      <c r="M491" s="15" t="n"/>
    </row>
    <row r="492">
      <c r="A492" s="12">
        <f>'Como usar'!$B$4+INT((ROW()-2)/6)</f>
        <v/>
      </c>
      <c r="B492" s="13" t="inlineStr">
        <is>
          <t>Janta</t>
        </is>
      </c>
      <c r="C492" s="14" t="n"/>
      <c r="D492" s="14" t="n"/>
      <c r="E492" s="15" t="n"/>
      <c r="F492" s="14" t="n"/>
      <c r="G492" s="15" t="n"/>
      <c r="H492" s="16" t="n"/>
      <c r="I492" s="16" t="n"/>
      <c r="J492" s="16" t="n"/>
      <c r="K492" s="14" t="n"/>
      <c r="L492" s="14" t="n"/>
      <c r="M492" s="15" t="n"/>
    </row>
    <row r="493">
      <c r="A493" s="12">
        <f>'Como usar'!$B$4+INT((ROW()-2)/6)</f>
        <v/>
      </c>
      <c r="B493" s="13" t="inlineStr">
        <is>
          <t>Ceia</t>
        </is>
      </c>
      <c r="C493" s="14" t="n"/>
      <c r="D493" s="14" t="n"/>
      <c r="E493" s="15" t="n"/>
      <c r="F493" s="14" t="n"/>
      <c r="G493" s="15" t="n"/>
      <c r="H493" s="16" t="n"/>
      <c r="I493" s="16" t="n"/>
      <c r="J493" s="16" t="n"/>
      <c r="K493" s="14" t="n"/>
      <c r="L493" s="14" t="n"/>
      <c r="M493" s="15" t="n"/>
    </row>
    <row r="494">
      <c r="A494" s="12">
        <f>'Como usar'!$B$4+INT((ROW()-2)/6)</f>
        <v/>
      </c>
      <c r="B494" s="13" t="inlineStr">
        <is>
          <t>Café da manhã</t>
        </is>
      </c>
      <c r="C494" s="14" t="n"/>
      <c r="D494" s="14" t="n"/>
      <c r="E494" s="15" t="n"/>
      <c r="F494" s="14" t="n"/>
      <c r="G494" s="15" t="n"/>
      <c r="H494" s="16" t="n"/>
      <c r="I494" s="16" t="n"/>
      <c r="J494" s="16" t="n"/>
      <c r="K494" s="14" t="n"/>
      <c r="L494" s="14" t="n"/>
      <c r="M494" s="15" t="n"/>
    </row>
    <row r="495">
      <c r="A495" s="12">
        <f>'Como usar'!$B$4+INT((ROW()-2)/6)</f>
        <v/>
      </c>
      <c r="B495" s="13" t="inlineStr">
        <is>
          <t>Lanche</t>
        </is>
      </c>
      <c r="C495" s="14" t="n"/>
      <c r="D495" s="14" t="n"/>
      <c r="E495" s="15" t="n"/>
      <c r="F495" s="14" t="n"/>
      <c r="G495" s="15" t="n"/>
      <c r="H495" s="16" t="n"/>
      <c r="I495" s="16" t="n"/>
      <c r="J495" s="16" t="n"/>
      <c r="K495" s="14" t="n"/>
      <c r="L495" s="14" t="n"/>
      <c r="M495" s="15" t="n"/>
    </row>
    <row r="496">
      <c r="A496" s="12">
        <f>'Como usar'!$B$4+INT((ROW()-2)/6)</f>
        <v/>
      </c>
      <c r="B496" s="13" t="inlineStr">
        <is>
          <t>Almoço</t>
        </is>
      </c>
      <c r="C496" s="14" t="n"/>
      <c r="D496" s="14" t="n"/>
      <c r="E496" s="15" t="n"/>
      <c r="F496" s="14" t="n"/>
      <c r="G496" s="15" t="n"/>
      <c r="H496" s="16" t="n"/>
      <c r="I496" s="16" t="n"/>
      <c r="J496" s="16" t="n"/>
      <c r="K496" s="14" t="n"/>
      <c r="L496" s="14" t="n"/>
      <c r="M496" s="15" t="n"/>
    </row>
    <row r="497">
      <c r="A497" s="12">
        <f>'Como usar'!$B$4+INT((ROW()-2)/6)</f>
        <v/>
      </c>
      <c r="B497" s="13" t="inlineStr">
        <is>
          <t>Café da tarde</t>
        </is>
      </c>
      <c r="C497" s="14" t="n"/>
      <c r="D497" s="14" t="n"/>
      <c r="E497" s="15" t="n"/>
      <c r="F497" s="14" t="n"/>
      <c r="G497" s="15" t="n"/>
      <c r="H497" s="16" t="n"/>
      <c r="I497" s="16" t="n"/>
      <c r="J497" s="16" t="n"/>
      <c r="K497" s="14" t="n"/>
      <c r="L497" s="14" t="n"/>
      <c r="M497" s="15" t="n"/>
    </row>
    <row r="498">
      <c r="A498" s="12">
        <f>'Como usar'!$B$4+INT((ROW()-2)/6)</f>
        <v/>
      </c>
      <c r="B498" s="13" t="inlineStr">
        <is>
          <t>Janta</t>
        </is>
      </c>
      <c r="C498" s="14" t="n"/>
      <c r="D498" s="14" t="n"/>
      <c r="E498" s="15" t="n"/>
      <c r="F498" s="14" t="n"/>
      <c r="G498" s="15" t="n"/>
      <c r="H498" s="16" t="n"/>
      <c r="I498" s="16" t="n"/>
      <c r="J498" s="16" t="n"/>
      <c r="K498" s="14" t="n"/>
      <c r="L498" s="14" t="n"/>
      <c r="M498" s="15" t="n"/>
    </row>
    <row r="499">
      <c r="A499" s="12">
        <f>'Como usar'!$B$4+INT((ROW()-2)/6)</f>
        <v/>
      </c>
      <c r="B499" s="13" t="inlineStr">
        <is>
          <t>Ceia</t>
        </is>
      </c>
      <c r="C499" s="14" t="n"/>
      <c r="D499" s="14" t="n"/>
      <c r="E499" s="15" t="n"/>
      <c r="F499" s="14" t="n"/>
      <c r="G499" s="15" t="n"/>
      <c r="H499" s="16" t="n"/>
      <c r="I499" s="16" t="n"/>
      <c r="J499" s="16" t="n"/>
      <c r="K499" s="14" t="n"/>
      <c r="L499" s="14" t="n"/>
      <c r="M499" s="15" t="n"/>
    </row>
    <row r="500">
      <c r="A500" s="12">
        <f>'Como usar'!$B$4+INT((ROW()-2)/6)</f>
        <v/>
      </c>
      <c r="B500" s="13" t="inlineStr">
        <is>
          <t>Café da manhã</t>
        </is>
      </c>
      <c r="C500" s="14" t="n"/>
      <c r="D500" s="14" t="n"/>
      <c r="E500" s="15" t="n"/>
      <c r="F500" s="14" t="n"/>
      <c r="G500" s="15" t="n"/>
      <c r="H500" s="16" t="n"/>
      <c r="I500" s="16" t="n"/>
      <c r="J500" s="16" t="n"/>
      <c r="K500" s="14" t="n"/>
      <c r="L500" s="14" t="n"/>
      <c r="M500" s="15" t="n"/>
    </row>
    <row r="501">
      <c r="A501" s="12">
        <f>'Como usar'!$B$4+INT((ROW()-2)/6)</f>
        <v/>
      </c>
      <c r="B501" s="13" t="inlineStr">
        <is>
          <t>Lanche</t>
        </is>
      </c>
      <c r="C501" s="14" t="n"/>
      <c r="D501" s="14" t="n"/>
      <c r="E501" s="15" t="n"/>
      <c r="F501" s="14" t="n"/>
      <c r="G501" s="15" t="n"/>
      <c r="H501" s="16" t="n"/>
      <c r="I501" s="16" t="n"/>
      <c r="J501" s="16" t="n"/>
      <c r="K501" s="14" t="n"/>
      <c r="L501" s="14" t="n"/>
      <c r="M501" s="15" t="n"/>
    </row>
    <row r="502">
      <c r="A502" s="12">
        <f>'Como usar'!$B$4+INT((ROW()-2)/6)</f>
        <v/>
      </c>
      <c r="B502" s="13" t="inlineStr">
        <is>
          <t>Almoço</t>
        </is>
      </c>
      <c r="C502" s="14" t="n"/>
      <c r="D502" s="14" t="n"/>
      <c r="E502" s="15" t="n"/>
      <c r="F502" s="14" t="n"/>
      <c r="G502" s="15" t="n"/>
      <c r="H502" s="16" t="n"/>
      <c r="I502" s="16" t="n"/>
      <c r="J502" s="16" t="n"/>
      <c r="K502" s="14" t="n"/>
      <c r="L502" s="14" t="n"/>
      <c r="M502" s="15" t="n"/>
    </row>
    <row r="503">
      <c r="A503" s="12">
        <f>'Como usar'!$B$4+INT((ROW()-2)/6)</f>
        <v/>
      </c>
      <c r="B503" s="13" t="inlineStr">
        <is>
          <t>Café da tarde</t>
        </is>
      </c>
      <c r="C503" s="14" t="n"/>
      <c r="D503" s="14" t="n"/>
      <c r="E503" s="15" t="n"/>
      <c r="F503" s="14" t="n"/>
      <c r="G503" s="15" t="n"/>
      <c r="H503" s="16" t="n"/>
      <c r="I503" s="16" t="n"/>
      <c r="J503" s="16" t="n"/>
      <c r="K503" s="14" t="n"/>
      <c r="L503" s="14" t="n"/>
      <c r="M503" s="15" t="n"/>
    </row>
    <row r="504">
      <c r="A504" s="12">
        <f>'Como usar'!$B$4+INT((ROW()-2)/6)</f>
        <v/>
      </c>
      <c r="B504" s="13" t="inlineStr">
        <is>
          <t>Janta</t>
        </is>
      </c>
      <c r="C504" s="14" t="n"/>
      <c r="D504" s="14" t="n"/>
      <c r="E504" s="15" t="n"/>
      <c r="F504" s="14" t="n"/>
      <c r="G504" s="15" t="n"/>
      <c r="H504" s="16" t="n"/>
      <c r="I504" s="16" t="n"/>
      <c r="J504" s="16" t="n"/>
      <c r="K504" s="14" t="n"/>
      <c r="L504" s="14" t="n"/>
      <c r="M504" s="15" t="n"/>
    </row>
    <row r="505">
      <c r="A505" s="12">
        <f>'Como usar'!$B$4+INT((ROW()-2)/6)</f>
        <v/>
      </c>
      <c r="B505" s="13" t="inlineStr">
        <is>
          <t>Ceia</t>
        </is>
      </c>
      <c r="C505" s="14" t="n"/>
      <c r="D505" s="14" t="n"/>
      <c r="E505" s="15" t="n"/>
      <c r="F505" s="14" t="n"/>
      <c r="G505" s="15" t="n"/>
      <c r="H505" s="16" t="n"/>
      <c r="I505" s="16" t="n"/>
      <c r="J505" s="16" t="n"/>
      <c r="K505" s="14" t="n"/>
      <c r="L505" s="14" t="n"/>
      <c r="M505" s="15" t="n"/>
    </row>
    <row r="506">
      <c r="A506" s="12">
        <f>'Como usar'!$B$4+INT((ROW()-2)/6)</f>
        <v/>
      </c>
      <c r="B506" s="13" t="inlineStr">
        <is>
          <t>Café da manhã</t>
        </is>
      </c>
      <c r="C506" s="14" t="n"/>
      <c r="D506" s="14" t="n"/>
      <c r="E506" s="15" t="n"/>
      <c r="F506" s="14" t="n"/>
      <c r="G506" s="15" t="n"/>
      <c r="H506" s="16" t="n"/>
      <c r="I506" s="16" t="n"/>
      <c r="J506" s="16" t="n"/>
      <c r="K506" s="14" t="n"/>
      <c r="L506" s="14" t="n"/>
      <c r="M506" s="15" t="n"/>
    </row>
    <row r="507">
      <c r="A507" s="12">
        <f>'Como usar'!$B$4+INT((ROW()-2)/6)</f>
        <v/>
      </c>
      <c r="B507" s="13" t="inlineStr">
        <is>
          <t>Lanche</t>
        </is>
      </c>
      <c r="C507" s="14" t="n"/>
      <c r="D507" s="14" t="n"/>
      <c r="E507" s="15" t="n"/>
      <c r="F507" s="14" t="n"/>
      <c r="G507" s="15" t="n"/>
      <c r="H507" s="16" t="n"/>
      <c r="I507" s="16" t="n"/>
      <c r="J507" s="16" t="n"/>
      <c r="K507" s="14" t="n"/>
      <c r="L507" s="14" t="n"/>
      <c r="M507" s="15" t="n"/>
    </row>
    <row r="508">
      <c r="A508" s="12">
        <f>'Como usar'!$B$4+INT((ROW()-2)/6)</f>
        <v/>
      </c>
      <c r="B508" s="13" t="inlineStr">
        <is>
          <t>Almoço</t>
        </is>
      </c>
      <c r="C508" s="14" t="n"/>
      <c r="D508" s="14" t="n"/>
      <c r="E508" s="15" t="n"/>
      <c r="F508" s="14" t="n"/>
      <c r="G508" s="15" t="n"/>
      <c r="H508" s="16" t="n"/>
      <c r="I508" s="16" t="n"/>
      <c r="J508" s="16" t="n"/>
      <c r="K508" s="14" t="n"/>
      <c r="L508" s="14" t="n"/>
      <c r="M508" s="15" t="n"/>
    </row>
    <row r="509">
      <c r="A509" s="12">
        <f>'Como usar'!$B$4+INT((ROW()-2)/6)</f>
        <v/>
      </c>
      <c r="B509" s="13" t="inlineStr">
        <is>
          <t>Café da tarde</t>
        </is>
      </c>
      <c r="C509" s="14" t="n"/>
      <c r="D509" s="14" t="n"/>
      <c r="E509" s="15" t="n"/>
      <c r="F509" s="14" t="n"/>
      <c r="G509" s="15" t="n"/>
      <c r="H509" s="16" t="n"/>
      <c r="I509" s="16" t="n"/>
      <c r="J509" s="16" t="n"/>
      <c r="K509" s="14" t="n"/>
      <c r="L509" s="14" t="n"/>
      <c r="M509" s="15" t="n"/>
    </row>
    <row r="510">
      <c r="A510" s="12">
        <f>'Como usar'!$B$4+INT((ROW()-2)/6)</f>
        <v/>
      </c>
      <c r="B510" s="13" t="inlineStr">
        <is>
          <t>Janta</t>
        </is>
      </c>
      <c r="C510" s="14" t="n"/>
      <c r="D510" s="14" t="n"/>
      <c r="E510" s="15" t="n"/>
      <c r="F510" s="14" t="n"/>
      <c r="G510" s="15" t="n"/>
      <c r="H510" s="16" t="n"/>
      <c r="I510" s="16" t="n"/>
      <c r="J510" s="16" t="n"/>
      <c r="K510" s="14" t="n"/>
      <c r="L510" s="14" t="n"/>
      <c r="M510" s="15" t="n"/>
    </row>
    <row r="511">
      <c r="A511" s="12">
        <f>'Como usar'!$B$4+INT((ROW()-2)/6)</f>
        <v/>
      </c>
      <c r="B511" s="13" t="inlineStr">
        <is>
          <t>Ceia</t>
        </is>
      </c>
      <c r="C511" s="14" t="n"/>
      <c r="D511" s="14" t="n"/>
      <c r="E511" s="15" t="n"/>
      <c r="F511" s="14" t="n"/>
      <c r="G511" s="15" t="n"/>
      <c r="H511" s="16" t="n"/>
      <c r="I511" s="16" t="n"/>
      <c r="J511" s="16" t="n"/>
      <c r="K511" s="14" t="n"/>
      <c r="L511" s="14" t="n"/>
      <c r="M511" s="15" t="n"/>
    </row>
    <row r="512">
      <c r="A512" s="12">
        <f>'Como usar'!$B$4+INT((ROW()-2)/6)</f>
        <v/>
      </c>
      <c r="B512" s="13" t="inlineStr">
        <is>
          <t>Café da manhã</t>
        </is>
      </c>
      <c r="C512" s="14" t="n"/>
      <c r="D512" s="14" t="n"/>
      <c r="E512" s="15" t="n"/>
      <c r="F512" s="14" t="n"/>
      <c r="G512" s="15" t="n"/>
      <c r="H512" s="16" t="n"/>
      <c r="I512" s="16" t="n"/>
      <c r="J512" s="16" t="n"/>
      <c r="K512" s="14" t="n"/>
      <c r="L512" s="14" t="n"/>
      <c r="M512" s="15" t="n"/>
    </row>
    <row r="513">
      <c r="A513" s="12">
        <f>'Como usar'!$B$4+INT((ROW()-2)/6)</f>
        <v/>
      </c>
      <c r="B513" s="13" t="inlineStr">
        <is>
          <t>Lanche</t>
        </is>
      </c>
      <c r="C513" s="14" t="n"/>
      <c r="D513" s="14" t="n"/>
      <c r="E513" s="15" t="n"/>
      <c r="F513" s="14" t="n"/>
      <c r="G513" s="15" t="n"/>
      <c r="H513" s="16" t="n"/>
      <c r="I513" s="16" t="n"/>
      <c r="J513" s="16" t="n"/>
      <c r="K513" s="14" t="n"/>
      <c r="L513" s="14" t="n"/>
      <c r="M513" s="15" t="n"/>
    </row>
    <row r="514">
      <c r="A514" s="12">
        <f>'Como usar'!$B$4+INT((ROW()-2)/6)</f>
        <v/>
      </c>
      <c r="B514" s="13" t="inlineStr">
        <is>
          <t>Almoço</t>
        </is>
      </c>
      <c r="C514" s="14" t="n"/>
      <c r="D514" s="14" t="n"/>
      <c r="E514" s="15" t="n"/>
      <c r="F514" s="14" t="n"/>
      <c r="G514" s="15" t="n"/>
      <c r="H514" s="16" t="n"/>
      <c r="I514" s="16" t="n"/>
      <c r="J514" s="16" t="n"/>
      <c r="K514" s="14" t="n"/>
      <c r="L514" s="14" t="n"/>
      <c r="M514" s="15" t="n"/>
    </row>
    <row r="515">
      <c r="A515" s="12">
        <f>'Como usar'!$B$4+INT((ROW()-2)/6)</f>
        <v/>
      </c>
      <c r="B515" s="13" t="inlineStr">
        <is>
          <t>Café da tarde</t>
        </is>
      </c>
      <c r="C515" s="14" t="n"/>
      <c r="D515" s="14" t="n"/>
      <c r="E515" s="15" t="n"/>
      <c r="F515" s="14" t="n"/>
      <c r="G515" s="15" t="n"/>
      <c r="H515" s="16" t="n"/>
      <c r="I515" s="16" t="n"/>
      <c r="J515" s="16" t="n"/>
      <c r="K515" s="14" t="n"/>
      <c r="L515" s="14" t="n"/>
      <c r="M515" s="15" t="n"/>
    </row>
    <row r="516">
      <c r="A516" s="12">
        <f>'Como usar'!$B$4+INT((ROW()-2)/6)</f>
        <v/>
      </c>
      <c r="B516" s="13" t="inlineStr">
        <is>
          <t>Janta</t>
        </is>
      </c>
      <c r="C516" s="14" t="n"/>
      <c r="D516" s="14" t="n"/>
      <c r="E516" s="15" t="n"/>
      <c r="F516" s="14" t="n"/>
      <c r="G516" s="15" t="n"/>
      <c r="H516" s="16" t="n"/>
      <c r="I516" s="16" t="n"/>
      <c r="J516" s="16" t="n"/>
      <c r="K516" s="14" t="n"/>
      <c r="L516" s="14" t="n"/>
      <c r="M516" s="15" t="n"/>
    </row>
    <row r="517">
      <c r="A517" s="12">
        <f>'Como usar'!$B$4+INT((ROW()-2)/6)</f>
        <v/>
      </c>
      <c r="B517" s="13" t="inlineStr">
        <is>
          <t>Ceia</t>
        </is>
      </c>
      <c r="C517" s="14" t="n"/>
      <c r="D517" s="14" t="n"/>
      <c r="E517" s="15" t="n"/>
      <c r="F517" s="14" t="n"/>
      <c r="G517" s="15" t="n"/>
      <c r="H517" s="16" t="n"/>
      <c r="I517" s="16" t="n"/>
      <c r="J517" s="16" t="n"/>
      <c r="K517" s="14" t="n"/>
      <c r="L517" s="14" t="n"/>
      <c r="M517" s="15" t="n"/>
    </row>
    <row r="518">
      <c r="A518" s="12">
        <f>'Como usar'!$B$4+INT((ROW()-2)/6)</f>
        <v/>
      </c>
      <c r="B518" s="13" t="inlineStr">
        <is>
          <t>Café da manhã</t>
        </is>
      </c>
      <c r="C518" s="14" t="n"/>
      <c r="D518" s="14" t="n"/>
      <c r="E518" s="15" t="n"/>
      <c r="F518" s="14" t="n"/>
      <c r="G518" s="15" t="n"/>
      <c r="H518" s="16" t="n"/>
      <c r="I518" s="16" t="n"/>
      <c r="J518" s="16" t="n"/>
      <c r="K518" s="14" t="n"/>
      <c r="L518" s="14" t="n"/>
      <c r="M518" s="15" t="n"/>
    </row>
    <row r="519">
      <c r="A519" s="12">
        <f>'Como usar'!$B$4+INT((ROW()-2)/6)</f>
        <v/>
      </c>
      <c r="B519" s="13" t="inlineStr">
        <is>
          <t>Lanche</t>
        </is>
      </c>
      <c r="C519" s="14" t="n"/>
      <c r="D519" s="14" t="n"/>
      <c r="E519" s="15" t="n"/>
      <c r="F519" s="14" t="n"/>
      <c r="G519" s="15" t="n"/>
      <c r="H519" s="16" t="n"/>
      <c r="I519" s="16" t="n"/>
      <c r="J519" s="16" t="n"/>
      <c r="K519" s="14" t="n"/>
      <c r="L519" s="14" t="n"/>
      <c r="M519" s="15" t="n"/>
    </row>
    <row r="520">
      <c r="A520" s="12">
        <f>'Como usar'!$B$4+INT((ROW()-2)/6)</f>
        <v/>
      </c>
      <c r="B520" s="13" t="inlineStr">
        <is>
          <t>Almoço</t>
        </is>
      </c>
      <c r="C520" s="14" t="n"/>
      <c r="D520" s="14" t="n"/>
      <c r="E520" s="15" t="n"/>
      <c r="F520" s="14" t="n"/>
      <c r="G520" s="15" t="n"/>
      <c r="H520" s="16" t="n"/>
      <c r="I520" s="16" t="n"/>
      <c r="J520" s="16" t="n"/>
      <c r="K520" s="14" t="n"/>
      <c r="L520" s="14" t="n"/>
      <c r="M520" s="15" t="n"/>
    </row>
    <row r="521">
      <c r="A521" s="12">
        <f>'Como usar'!$B$4+INT((ROW()-2)/6)</f>
        <v/>
      </c>
      <c r="B521" s="13" t="inlineStr">
        <is>
          <t>Café da tarde</t>
        </is>
      </c>
      <c r="C521" s="14" t="n"/>
      <c r="D521" s="14" t="n"/>
      <c r="E521" s="15" t="n"/>
      <c r="F521" s="14" t="n"/>
      <c r="G521" s="15" t="n"/>
      <c r="H521" s="16" t="n"/>
      <c r="I521" s="16" t="n"/>
      <c r="J521" s="16" t="n"/>
      <c r="K521" s="14" t="n"/>
      <c r="L521" s="14" t="n"/>
      <c r="M521" s="15" t="n"/>
    </row>
    <row r="522">
      <c r="A522" s="12">
        <f>'Como usar'!$B$4+INT((ROW()-2)/6)</f>
        <v/>
      </c>
      <c r="B522" s="13" t="inlineStr">
        <is>
          <t>Janta</t>
        </is>
      </c>
      <c r="C522" s="14" t="n"/>
      <c r="D522" s="14" t="n"/>
      <c r="E522" s="15" t="n"/>
      <c r="F522" s="14" t="n"/>
      <c r="G522" s="15" t="n"/>
      <c r="H522" s="16" t="n"/>
      <c r="I522" s="16" t="n"/>
      <c r="J522" s="16" t="n"/>
      <c r="K522" s="14" t="n"/>
      <c r="L522" s="14" t="n"/>
      <c r="M522" s="15" t="n"/>
    </row>
    <row r="523">
      <c r="A523" s="12">
        <f>'Como usar'!$B$4+INT((ROW()-2)/6)</f>
        <v/>
      </c>
      <c r="B523" s="13" t="inlineStr">
        <is>
          <t>Ceia</t>
        </is>
      </c>
      <c r="C523" s="14" t="n"/>
      <c r="D523" s="14" t="n"/>
      <c r="E523" s="15" t="n"/>
      <c r="F523" s="14" t="n"/>
      <c r="G523" s="15" t="n"/>
      <c r="H523" s="16" t="n"/>
      <c r="I523" s="16" t="n"/>
      <c r="J523" s="16" t="n"/>
      <c r="K523" s="14" t="n"/>
      <c r="L523" s="14" t="n"/>
      <c r="M523" s="15" t="n"/>
    </row>
    <row r="524">
      <c r="A524" s="12">
        <f>'Como usar'!$B$4+INT((ROW()-2)/6)</f>
        <v/>
      </c>
      <c r="B524" s="13" t="inlineStr">
        <is>
          <t>Café da manhã</t>
        </is>
      </c>
      <c r="C524" s="14" t="n"/>
      <c r="D524" s="14" t="n"/>
      <c r="E524" s="15" t="n"/>
      <c r="F524" s="14" t="n"/>
      <c r="G524" s="15" t="n"/>
      <c r="H524" s="16" t="n"/>
      <c r="I524" s="16" t="n"/>
      <c r="J524" s="16" t="n"/>
      <c r="K524" s="14" t="n"/>
      <c r="L524" s="14" t="n"/>
      <c r="M524" s="15" t="n"/>
    </row>
    <row r="525">
      <c r="A525" s="12">
        <f>'Como usar'!$B$4+INT((ROW()-2)/6)</f>
        <v/>
      </c>
      <c r="B525" s="13" t="inlineStr">
        <is>
          <t>Lanche</t>
        </is>
      </c>
      <c r="C525" s="14" t="n"/>
      <c r="D525" s="14" t="n"/>
      <c r="E525" s="15" t="n"/>
      <c r="F525" s="14" t="n"/>
      <c r="G525" s="15" t="n"/>
      <c r="H525" s="16" t="n"/>
      <c r="I525" s="16" t="n"/>
      <c r="J525" s="16" t="n"/>
      <c r="K525" s="14" t="n"/>
      <c r="L525" s="14" t="n"/>
      <c r="M525" s="15" t="n"/>
    </row>
    <row r="526">
      <c r="A526" s="12">
        <f>'Como usar'!$B$4+INT((ROW()-2)/6)</f>
        <v/>
      </c>
      <c r="B526" s="13" t="inlineStr">
        <is>
          <t>Almoço</t>
        </is>
      </c>
      <c r="C526" s="14" t="n"/>
      <c r="D526" s="14" t="n"/>
      <c r="E526" s="15" t="n"/>
      <c r="F526" s="14" t="n"/>
      <c r="G526" s="15" t="n"/>
      <c r="H526" s="16" t="n"/>
      <c r="I526" s="16" t="n"/>
      <c r="J526" s="16" t="n"/>
      <c r="K526" s="14" t="n"/>
      <c r="L526" s="14" t="n"/>
      <c r="M526" s="15" t="n"/>
    </row>
    <row r="527">
      <c r="A527" s="12">
        <f>'Como usar'!$B$4+INT((ROW()-2)/6)</f>
        <v/>
      </c>
      <c r="B527" s="13" t="inlineStr">
        <is>
          <t>Café da tarde</t>
        </is>
      </c>
      <c r="C527" s="14" t="n"/>
      <c r="D527" s="14" t="n"/>
      <c r="E527" s="15" t="n"/>
      <c r="F527" s="14" t="n"/>
      <c r="G527" s="15" t="n"/>
      <c r="H527" s="16" t="n"/>
      <c r="I527" s="16" t="n"/>
      <c r="J527" s="16" t="n"/>
      <c r="K527" s="14" t="n"/>
      <c r="L527" s="14" t="n"/>
      <c r="M527" s="15" t="n"/>
    </row>
    <row r="528">
      <c r="A528" s="12">
        <f>'Como usar'!$B$4+INT((ROW()-2)/6)</f>
        <v/>
      </c>
      <c r="B528" s="13" t="inlineStr">
        <is>
          <t>Janta</t>
        </is>
      </c>
      <c r="C528" s="14" t="n"/>
      <c r="D528" s="14" t="n"/>
      <c r="E528" s="15" t="n"/>
      <c r="F528" s="14" t="n"/>
      <c r="G528" s="15" t="n"/>
      <c r="H528" s="16" t="n"/>
      <c r="I528" s="16" t="n"/>
      <c r="J528" s="16" t="n"/>
      <c r="K528" s="14" t="n"/>
      <c r="L528" s="14" t="n"/>
      <c r="M528" s="15" t="n"/>
    </row>
    <row r="529">
      <c r="A529" s="12">
        <f>'Como usar'!$B$4+INT((ROW()-2)/6)</f>
        <v/>
      </c>
      <c r="B529" s="13" t="inlineStr">
        <is>
          <t>Ceia</t>
        </is>
      </c>
      <c r="C529" s="14" t="n"/>
      <c r="D529" s="14" t="n"/>
      <c r="E529" s="15" t="n"/>
      <c r="F529" s="14" t="n"/>
      <c r="G529" s="15" t="n"/>
      <c r="H529" s="16" t="n"/>
      <c r="I529" s="16" t="n"/>
      <c r="J529" s="16" t="n"/>
      <c r="K529" s="14" t="n"/>
      <c r="L529" s="14" t="n"/>
      <c r="M529" s="15" t="n"/>
    </row>
    <row r="530">
      <c r="A530" s="12">
        <f>'Como usar'!$B$4+INT((ROW()-2)/6)</f>
        <v/>
      </c>
      <c r="B530" s="13" t="inlineStr">
        <is>
          <t>Café da manhã</t>
        </is>
      </c>
      <c r="C530" s="14" t="n"/>
      <c r="D530" s="14" t="n"/>
      <c r="E530" s="15" t="n"/>
      <c r="F530" s="14" t="n"/>
      <c r="G530" s="15" t="n"/>
      <c r="H530" s="16" t="n"/>
      <c r="I530" s="16" t="n"/>
      <c r="J530" s="16" t="n"/>
      <c r="K530" s="14" t="n"/>
      <c r="L530" s="14" t="n"/>
      <c r="M530" s="15" t="n"/>
    </row>
    <row r="531">
      <c r="A531" s="12">
        <f>'Como usar'!$B$4+INT((ROW()-2)/6)</f>
        <v/>
      </c>
      <c r="B531" s="13" t="inlineStr">
        <is>
          <t>Lanche</t>
        </is>
      </c>
      <c r="C531" s="14" t="n"/>
      <c r="D531" s="14" t="n"/>
      <c r="E531" s="15" t="n"/>
      <c r="F531" s="14" t="n"/>
      <c r="G531" s="15" t="n"/>
      <c r="H531" s="16" t="n"/>
      <c r="I531" s="16" t="n"/>
      <c r="J531" s="16" t="n"/>
      <c r="K531" s="14" t="n"/>
      <c r="L531" s="14" t="n"/>
      <c r="M531" s="15" t="n"/>
    </row>
    <row r="532">
      <c r="A532" s="12">
        <f>'Como usar'!$B$4+INT((ROW()-2)/6)</f>
        <v/>
      </c>
      <c r="B532" s="13" t="inlineStr">
        <is>
          <t>Almoço</t>
        </is>
      </c>
      <c r="C532" s="14" t="n"/>
      <c r="D532" s="14" t="n"/>
      <c r="E532" s="15" t="n"/>
      <c r="F532" s="14" t="n"/>
      <c r="G532" s="15" t="n"/>
      <c r="H532" s="16" t="n"/>
      <c r="I532" s="16" t="n"/>
      <c r="J532" s="16" t="n"/>
      <c r="K532" s="14" t="n"/>
      <c r="L532" s="14" t="n"/>
      <c r="M532" s="15" t="n"/>
    </row>
    <row r="533">
      <c r="A533" s="12">
        <f>'Como usar'!$B$4+INT((ROW()-2)/6)</f>
        <v/>
      </c>
      <c r="B533" s="13" t="inlineStr">
        <is>
          <t>Café da tarde</t>
        </is>
      </c>
      <c r="C533" s="14" t="n"/>
      <c r="D533" s="14" t="n"/>
      <c r="E533" s="15" t="n"/>
      <c r="F533" s="14" t="n"/>
      <c r="G533" s="15" t="n"/>
      <c r="H533" s="16" t="n"/>
      <c r="I533" s="16" t="n"/>
      <c r="J533" s="16" t="n"/>
      <c r="K533" s="14" t="n"/>
      <c r="L533" s="14" t="n"/>
      <c r="M533" s="15" t="n"/>
    </row>
    <row r="534">
      <c r="A534" s="12">
        <f>'Como usar'!$B$4+INT((ROW()-2)/6)</f>
        <v/>
      </c>
      <c r="B534" s="13" t="inlineStr">
        <is>
          <t>Janta</t>
        </is>
      </c>
      <c r="C534" s="14" t="n"/>
      <c r="D534" s="14" t="n"/>
      <c r="E534" s="15" t="n"/>
      <c r="F534" s="14" t="n"/>
      <c r="G534" s="15" t="n"/>
      <c r="H534" s="16" t="n"/>
      <c r="I534" s="16" t="n"/>
      <c r="J534" s="16" t="n"/>
      <c r="K534" s="14" t="n"/>
      <c r="L534" s="14" t="n"/>
      <c r="M534" s="15" t="n"/>
    </row>
    <row r="535">
      <c r="A535" s="12">
        <f>'Como usar'!$B$4+INT((ROW()-2)/6)</f>
        <v/>
      </c>
      <c r="B535" s="13" t="inlineStr">
        <is>
          <t>Ceia</t>
        </is>
      </c>
      <c r="C535" s="14" t="n"/>
      <c r="D535" s="14" t="n"/>
      <c r="E535" s="15" t="n"/>
      <c r="F535" s="14" t="n"/>
      <c r="G535" s="15" t="n"/>
      <c r="H535" s="16" t="n"/>
      <c r="I535" s="16" t="n"/>
      <c r="J535" s="16" t="n"/>
      <c r="K535" s="14" t="n"/>
      <c r="L535" s="14" t="n"/>
      <c r="M535" s="15" t="n"/>
    </row>
    <row r="536">
      <c r="A536" s="12">
        <f>'Como usar'!$B$4+INT((ROW()-2)/6)</f>
        <v/>
      </c>
      <c r="B536" s="13" t="inlineStr">
        <is>
          <t>Café da manhã</t>
        </is>
      </c>
      <c r="C536" s="14" t="n"/>
      <c r="D536" s="14" t="n"/>
      <c r="E536" s="15" t="n"/>
      <c r="F536" s="14" t="n"/>
      <c r="G536" s="15" t="n"/>
      <c r="H536" s="16" t="n"/>
      <c r="I536" s="16" t="n"/>
      <c r="J536" s="16" t="n"/>
      <c r="K536" s="14" t="n"/>
      <c r="L536" s="14" t="n"/>
      <c r="M536" s="15" t="n"/>
    </row>
    <row r="537">
      <c r="A537" s="12">
        <f>'Como usar'!$B$4+INT((ROW()-2)/6)</f>
        <v/>
      </c>
      <c r="B537" s="13" t="inlineStr">
        <is>
          <t>Lanche</t>
        </is>
      </c>
      <c r="C537" s="14" t="n"/>
      <c r="D537" s="14" t="n"/>
      <c r="E537" s="15" t="n"/>
      <c r="F537" s="14" t="n"/>
      <c r="G537" s="15" t="n"/>
      <c r="H537" s="16" t="n"/>
      <c r="I537" s="16" t="n"/>
      <c r="J537" s="16" t="n"/>
      <c r="K537" s="14" t="n"/>
      <c r="L537" s="14" t="n"/>
      <c r="M537" s="15" t="n"/>
    </row>
    <row r="538">
      <c r="A538" s="12">
        <f>'Como usar'!$B$4+INT((ROW()-2)/6)</f>
        <v/>
      </c>
      <c r="B538" s="13" t="inlineStr">
        <is>
          <t>Almoço</t>
        </is>
      </c>
      <c r="C538" s="14" t="n"/>
      <c r="D538" s="14" t="n"/>
      <c r="E538" s="15" t="n"/>
      <c r="F538" s="14" t="n"/>
      <c r="G538" s="15" t="n"/>
      <c r="H538" s="16" t="n"/>
      <c r="I538" s="16" t="n"/>
      <c r="J538" s="16" t="n"/>
      <c r="K538" s="14" t="n"/>
      <c r="L538" s="14" t="n"/>
      <c r="M538" s="15" t="n"/>
    </row>
    <row r="539">
      <c r="A539" s="12">
        <f>'Como usar'!$B$4+INT((ROW()-2)/6)</f>
        <v/>
      </c>
      <c r="B539" s="13" t="inlineStr">
        <is>
          <t>Café da tarde</t>
        </is>
      </c>
      <c r="C539" s="14" t="n"/>
      <c r="D539" s="14" t="n"/>
      <c r="E539" s="15" t="n"/>
      <c r="F539" s="14" t="n"/>
      <c r="G539" s="15" t="n"/>
      <c r="H539" s="16" t="n"/>
      <c r="I539" s="16" t="n"/>
      <c r="J539" s="16" t="n"/>
      <c r="K539" s="14" t="n"/>
      <c r="L539" s="14" t="n"/>
      <c r="M539" s="15" t="n"/>
    </row>
    <row r="540">
      <c r="A540" s="12">
        <f>'Como usar'!$B$4+INT((ROW()-2)/6)</f>
        <v/>
      </c>
      <c r="B540" s="13" t="inlineStr">
        <is>
          <t>Janta</t>
        </is>
      </c>
      <c r="C540" s="14" t="n"/>
      <c r="D540" s="14" t="n"/>
      <c r="E540" s="15" t="n"/>
      <c r="F540" s="14" t="n"/>
      <c r="G540" s="15" t="n"/>
      <c r="H540" s="16" t="n"/>
      <c r="I540" s="16" t="n"/>
      <c r="J540" s="16" t="n"/>
      <c r="K540" s="14" t="n"/>
      <c r="L540" s="14" t="n"/>
      <c r="M540" s="15" t="n"/>
    </row>
    <row r="541">
      <c r="A541" s="12">
        <f>'Como usar'!$B$4+INT((ROW()-2)/6)</f>
        <v/>
      </c>
      <c r="B541" s="13" t="inlineStr">
        <is>
          <t>Ceia</t>
        </is>
      </c>
      <c r="C541" s="14" t="n"/>
      <c r="D541" s="14" t="n"/>
      <c r="E541" s="15" t="n"/>
      <c r="F541" s="14" t="n"/>
      <c r="G541" s="15" t="n"/>
      <c r="H541" s="16" t="n"/>
      <c r="I541" s="16" t="n"/>
      <c r="J541" s="16" t="n"/>
      <c r="K541" s="14" t="n"/>
      <c r="L541" s="14" t="n"/>
      <c r="M541" s="15" t="n"/>
    </row>
  </sheetData>
  <autoFilter ref="A1:M541"/>
  <conditionalFormatting sqref="C2:M541">
    <cfRule type="expression" priority="1" dxfId="0">
      <formula>MOD(INT((ROW()-2)/6),2)=0</formula>
    </cfRule>
    <cfRule type="expression" priority="2" dxfId="1">
      <formula>MOD(INT((ROW()-2)/6),2)=1</formula>
    </cfRule>
  </conditionalFormatting>
  <dataValidations count="4">
    <dataValidation sqref="C2:C541 F2:F541" showDropDown="0" showInputMessage="1" showErrorMessage="1" allowBlank="1" errorTitle="Confira o valor" error="Glicemia costuma ficar entre 20 e 600 mg/dL. Confira o número digitado." promptTitle="Glicemia" prompt="Valor em mg/dL (só números)." type="whole" errorStyle="warning" operator="between">
      <formula1>20</formula1>
      <formula2>600</formula2>
    </dataValidation>
    <dataValidation sqref="D2:D541" showDropDown="0" showInputMessage="1" showErrorMessage="1" allowBlank="1" errorTitle="Confira o valor" error="Digite apenas o número de unidades (ex.: 4 ou 4,5)." promptTitle="Insulina" prompt="Unidades aplicadas antes da refeição." type="decimal" errorStyle="warning" operator="between">
      <formula1>0</formula1>
      <formula2>100</formula2>
    </dataValidation>
    <dataValidation sqref="K2:K541" showDropDown="0" showInputMessage="0" showErrorMessage="1" allowBlank="1" errorTitle="Confira o valor" error="Digite os carboidratos em gramas (ex.: 45)." type="decimal" errorStyle="warning" operator="between">
      <formula1>0</formula1>
      <formula2>250</formula2>
    </dataValidation>
    <dataValidation sqref="L2:L541" showDropDown="0" showInputMessage="0" showErrorMessage="0" allowBlank="1" type="list">
      <formula1>"Barriga esq.,Barriga dir.,Braço esq.,Braço dir.,Coxa esq.,Coxa dir.,Nádega esq.,Nádega dir."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V9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0" customWidth="1" min="20" max="20"/>
    <col width="10" customWidth="1" min="21" max="21"/>
    <col width="10" customWidth="1" min="22" max="22"/>
  </cols>
  <sheetData>
    <row r="1" ht="28" customHeight="1">
      <c r="A1" s="17" t="inlineStr">
        <is>
          <t>HISTÓRICO POR DIA - GLICEMIA (mg/dL) E INSULINA (unidades)</t>
        </is>
      </c>
    </row>
    <row r="2" ht="22" customHeight="1">
      <c r="A2" s="11" t="inlineStr">
        <is>
          <t>Data</t>
        </is>
      </c>
      <c r="B2" s="11" t="inlineStr">
        <is>
          <t>Café da manhã</t>
        </is>
      </c>
      <c r="C2" s="11" t="n"/>
      <c r="D2" s="11" t="n"/>
      <c r="E2" s="11" t="inlineStr">
        <is>
          <t>Lanche</t>
        </is>
      </c>
      <c r="F2" s="11" t="n"/>
      <c r="G2" s="11" t="n"/>
      <c r="H2" s="11" t="inlineStr">
        <is>
          <t>Almoço</t>
        </is>
      </c>
      <c r="I2" s="11" t="n"/>
      <c r="J2" s="11" t="n"/>
      <c r="K2" s="11" t="inlineStr">
        <is>
          <t>Café da tarde</t>
        </is>
      </c>
      <c r="L2" s="11" t="n"/>
      <c r="M2" s="11" t="n"/>
      <c r="N2" s="11" t="inlineStr">
        <is>
          <t>Janta</t>
        </is>
      </c>
      <c r="O2" s="11" t="n"/>
      <c r="P2" s="11" t="n"/>
      <c r="Q2" s="11" t="inlineStr">
        <is>
          <t>Ceia</t>
        </is>
      </c>
      <c r="R2" s="11" t="n"/>
      <c r="S2" s="11" t="n"/>
      <c r="T2" s="11" t="inlineStr">
        <is>
          <t>Média antes</t>
        </is>
      </c>
      <c r="U2" s="11" t="inlineStr">
        <is>
          <t>Média 2h depois</t>
        </is>
      </c>
      <c r="V2" s="11" t="inlineStr">
        <is>
          <t>Insulina total</t>
        </is>
      </c>
    </row>
    <row r="3" ht="18" customHeight="1">
      <c r="A3" s="11" t="n"/>
      <c r="B3" s="11" t="inlineStr">
        <is>
          <t>Antes</t>
        </is>
      </c>
      <c r="C3" s="11" t="inlineStr">
        <is>
          <t>Insul.</t>
        </is>
      </c>
      <c r="D3" s="11" t="inlineStr">
        <is>
          <t>2h dep.</t>
        </is>
      </c>
      <c r="E3" s="11" t="inlineStr">
        <is>
          <t>Antes</t>
        </is>
      </c>
      <c r="F3" s="11" t="inlineStr">
        <is>
          <t>Insul.</t>
        </is>
      </c>
      <c r="G3" s="11" t="inlineStr">
        <is>
          <t>2h dep.</t>
        </is>
      </c>
      <c r="H3" s="11" t="inlineStr">
        <is>
          <t>Antes</t>
        </is>
      </c>
      <c r="I3" s="11" t="inlineStr">
        <is>
          <t>Insul.</t>
        </is>
      </c>
      <c r="J3" s="11" t="inlineStr">
        <is>
          <t>2h dep.</t>
        </is>
      </c>
      <c r="K3" s="11" t="inlineStr">
        <is>
          <t>Antes</t>
        </is>
      </c>
      <c r="L3" s="11" t="inlineStr">
        <is>
          <t>Insul.</t>
        </is>
      </c>
      <c r="M3" s="11" t="inlineStr">
        <is>
          <t>2h dep.</t>
        </is>
      </c>
      <c r="N3" s="11" t="inlineStr">
        <is>
          <t>Antes</t>
        </is>
      </c>
      <c r="O3" s="11" t="inlineStr">
        <is>
          <t>Insul.</t>
        </is>
      </c>
      <c r="P3" s="11" t="inlineStr">
        <is>
          <t>2h dep.</t>
        </is>
      </c>
      <c r="Q3" s="11" t="inlineStr">
        <is>
          <t>Antes</t>
        </is>
      </c>
      <c r="R3" s="11" t="inlineStr">
        <is>
          <t>Insul.</t>
        </is>
      </c>
      <c r="S3" s="11" t="inlineStr">
        <is>
          <t>2h dep.</t>
        </is>
      </c>
      <c r="T3" s="11" t="n"/>
      <c r="U3" s="11" t="n"/>
      <c r="V3" s="11" t="n"/>
    </row>
    <row r="4">
      <c r="A4" s="18">
        <f>'Preencher pelo celular'!A2</f>
        <v/>
      </c>
      <c r="B4" s="14">
        <f>IF('Preencher pelo celular'!C2="","",'Preencher pelo celular'!C2)</f>
        <v/>
      </c>
      <c r="C4" s="14">
        <f>IF('Preencher pelo celular'!D2="","",'Preencher pelo celular'!D2)</f>
        <v/>
      </c>
      <c r="D4" s="14">
        <f>IF('Preencher pelo celular'!F2="","",'Preencher pelo celular'!F2)</f>
        <v/>
      </c>
      <c r="E4" s="14">
        <f>IF('Preencher pelo celular'!C3="","",'Preencher pelo celular'!C3)</f>
        <v/>
      </c>
      <c r="F4" s="14">
        <f>IF('Preencher pelo celular'!D3="","",'Preencher pelo celular'!D3)</f>
        <v/>
      </c>
      <c r="G4" s="14">
        <f>IF('Preencher pelo celular'!F3="","",'Preencher pelo celular'!F3)</f>
        <v/>
      </c>
      <c r="H4" s="14">
        <f>IF('Preencher pelo celular'!C4="","",'Preencher pelo celular'!C4)</f>
        <v/>
      </c>
      <c r="I4" s="14">
        <f>IF('Preencher pelo celular'!D4="","",'Preencher pelo celular'!D4)</f>
        <v/>
      </c>
      <c r="J4" s="14">
        <f>IF('Preencher pelo celular'!F4="","",'Preencher pelo celular'!F4)</f>
        <v/>
      </c>
      <c r="K4" s="14">
        <f>IF('Preencher pelo celular'!C5="","",'Preencher pelo celular'!C5)</f>
        <v/>
      </c>
      <c r="L4" s="14">
        <f>IF('Preencher pelo celular'!D5="","",'Preencher pelo celular'!D5)</f>
        <v/>
      </c>
      <c r="M4" s="14">
        <f>IF('Preencher pelo celular'!F5="","",'Preencher pelo celular'!F5)</f>
        <v/>
      </c>
      <c r="N4" s="14">
        <f>IF('Preencher pelo celular'!C6="","",'Preencher pelo celular'!C6)</f>
        <v/>
      </c>
      <c r="O4" s="14">
        <f>IF('Preencher pelo celular'!D6="","",'Preencher pelo celular'!D6)</f>
        <v/>
      </c>
      <c r="P4" s="14">
        <f>IF('Preencher pelo celular'!F6="","",'Preencher pelo celular'!F6)</f>
        <v/>
      </c>
      <c r="Q4" s="14">
        <f>IF('Preencher pelo celular'!C7="","",'Preencher pelo celular'!C7)</f>
        <v/>
      </c>
      <c r="R4" s="14">
        <f>IF('Preencher pelo celular'!D7="","",'Preencher pelo celular'!D7)</f>
        <v/>
      </c>
      <c r="S4" s="14">
        <f>IF('Preencher pelo celular'!F7="","",'Preencher pelo celular'!F7)</f>
        <v/>
      </c>
      <c r="T4" s="19">
        <f>IF(COUNT(B4,E4,H4,K4,N4,Q4)=0,"",AVERAGE(B4,E4,H4,K4,N4,Q4))</f>
        <v/>
      </c>
      <c r="U4" s="19">
        <f>IF(COUNT(D4,G4,J4,M4,P4,S4)=0,"",AVERAGE(D4,G4,J4,M4,P4,S4))</f>
        <v/>
      </c>
      <c r="V4" s="19">
        <f>IF(COUNT(C4,F4,I4,L4,O4,R4)=0,"",SUM(C4,F4,I4,L4,O4,R4))</f>
        <v/>
      </c>
    </row>
    <row r="5">
      <c r="A5" s="20">
        <f>'Preencher pelo celular'!A8</f>
        <v/>
      </c>
      <c r="B5" s="21">
        <f>IF('Preencher pelo celular'!C8="","",'Preencher pelo celular'!C8)</f>
        <v/>
      </c>
      <c r="C5" s="21">
        <f>IF('Preencher pelo celular'!D8="","",'Preencher pelo celular'!D8)</f>
        <v/>
      </c>
      <c r="D5" s="21">
        <f>IF('Preencher pelo celular'!F8="","",'Preencher pelo celular'!F8)</f>
        <v/>
      </c>
      <c r="E5" s="21">
        <f>IF('Preencher pelo celular'!C9="","",'Preencher pelo celular'!C9)</f>
        <v/>
      </c>
      <c r="F5" s="21">
        <f>IF('Preencher pelo celular'!D9="","",'Preencher pelo celular'!D9)</f>
        <v/>
      </c>
      <c r="G5" s="21">
        <f>IF('Preencher pelo celular'!F9="","",'Preencher pelo celular'!F9)</f>
        <v/>
      </c>
      <c r="H5" s="21">
        <f>IF('Preencher pelo celular'!C10="","",'Preencher pelo celular'!C10)</f>
        <v/>
      </c>
      <c r="I5" s="21">
        <f>IF('Preencher pelo celular'!D10="","",'Preencher pelo celular'!D10)</f>
        <v/>
      </c>
      <c r="J5" s="21">
        <f>IF('Preencher pelo celular'!F10="","",'Preencher pelo celular'!F10)</f>
        <v/>
      </c>
      <c r="K5" s="21">
        <f>IF('Preencher pelo celular'!C11="","",'Preencher pelo celular'!C11)</f>
        <v/>
      </c>
      <c r="L5" s="21">
        <f>IF('Preencher pelo celular'!D11="","",'Preencher pelo celular'!D11)</f>
        <v/>
      </c>
      <c r="M5" s="21">
        <f>IF('Preencher pelo celular'!F11="","",'Preencher pelo celular'!F11)</f>
        <v/>
      </c>
      <c r="N5" s="21">
        <f>IF('Preencher pelo celular'!C12="","",'Preencher pelo celular'!C12)</f>
        <v/>
      </c>
      <c r="O5" s="21">
        <f>IF('Preencher pelo celular'!D12="","",'Preencher pelo celular'!D12)</f>
        <v/>
      </c>
      <c r="P5" s="21">
        <f>IF('Preencher pelo celular'!F12="","",'Preencher pelo celular'!F12)</f>
        <v/>
      </c>
      <c r="Q5" s="21">
        <f>IF('Preencher pelo celular'!C13="","",'Preencher pelo celular'!C13)</f>
        <v/>
      </c>
      <c r="R5" s="21">
        <f>IF('Preencher pelo celular'!D13="","",'Preencher pelo celular'!D13)</f>
        <v/>
      </c>
      <c r="S5" s="21">
        <f>IF('Preencher pelo celular'!F13="","",'Preencher pelo celular'!F13)</f>
        <v/>
      </c>
      <c r="T5" s="19">
        <f>IF(COUNT(B5,E5,H5,K5,N5,Q5)=0,"",AVERAGE(B5,E5,H5,K5,N5,Q5))</f>
        <v/>
      </c>
      <c r="U5" s="19">
        <f>IF(COUNT(D5,G5,J5,M5,P5,S5)=0,"",AVERAGE(D5,G5,J5,M5,P5,S5))</f>
        <v/>
      </c>
      <c r="V5" s="19">
        <f>IF(COUNT(C5,F5,I5,L5,O5,R5)=0,"",SUM(C5,F5,I5,L5,O5,R5))</f>
        <v/>
      </c>
    </row>
    <row r="6">
      <c r="A6" s="18">
        <f>'Preencher pelo celular'!A14</f>
        <v/>
      </c>
      <c r="B6" s="14">
        <f>IF('Preencher pelo celular'!C14="","",'Preencher pelo celular'!C14)</f>
        <v/>
      </c>
      <c r="C6" s="14">
        <f>IF('Preencher pelo celular'!D14="","",'Preencher pelo celular'!D14)</f>
        <v/>
      </c>
      <c r="D6" s="14">
        <f>IF('Preencher pelo celular'!F14="","",'Preencher pelo celular'!F14)</f>
        <v/>
      </c>
      <c r="E6" s="14">
        <f>IF('Preencher pelo celular'!C15="","",'Preencher pelo celular'!C15)</f>
        <v/>
      </c>
      <c r="F6" s="14">
        <f>IF('Preencher pelo celular'!D15="","",'Preencher pelo celular'!D15)</f>
        <v/>
      </c>
      <c r="G6" s="14">
        <f>IF('Preencher pelo celular'!F15="","",'Preencher pelo celular'!F15)</f>
        <v/>
      </c>
      <c r="H6" s="14">
        <f>IF('Preencher pelo celular'!C16="","",'Preencher pelo celular'!C16)</f>
        <v/>
      </c>
      <c r="I6" s="14">
        <f>IF('Preencher pelo celular'!D16="","",'Preencher pelo celular'!D16)</f>
        <v/>
      </c>
      <c r="J6" s="14">
        <f>IF('Preencher pelo celular'!F16="","",'Preencher pelo celular'!F16)</f>
        <v/>
      </c>
      <c r="K6" s="14">
        <f>IF('Preencher pelo celular'!C17="","",'Preencher pelo celular'!C17)</f>
        <v/>
      </c>
      <c r="L6" s="14">
        <f>IF('Preencher pelo celular'!D17="","",'Preencher pelo celular'!D17)</f>
        <v/>
      </c>
      <c r="M6" s="14">
        <f>IF('Preencher pelo celular'!F17="","",'Preencher pelo celular'!F17)</f>
        <v/>
      </c>
      <c r="N6" s="14">
        <f>IF('Preencher pelo celular'!C18="","",'Preencher pelo celular'!C18)</f>
        <v/>
      </c>
      <c r="O6" s="14">
        <f>IF('Preencher pelo celular'!D18="","",'Preencher pelo celular'!D18)</f>
        <v/>
      </c>
      <c r="P6" s="14">
        <f>IF('Preencher pelo celular'!F18="","",'Preencher pelo celular'!F18)</f>
        <v/>
      </c>
      <c r="Q6" s="14">
        <f>IF('Preencher pelo celular'!C19="","",'Preencher pelo celular'!C19)</f>
        <v/>
      </c>
      <c r="R6" s="14">
        <f>IF('Preencher pelo celular'!D19="","",'Preencher pelo celular'!D19)</f>
        <v/>
      </c>
      <c r="S6" s="14">
        <f>IF('Preencher pelo celular'!F19="","",'Preencher pelo celular'!F19)</f>
        <v/>
      </c>
      <c r="T6" s="19">
        <f>IF(COUNT(B6,E6,H6,K6,N6,Q6)=0,"",AVERAGE(B6,E6,H6,K6,N6,Q6))</f>
        <v/>
      </c>
      <c r="U6" s="19">
        <f>IF(COUNT(D6,G6,J6,M6,P6,S6)=0,"",AVERAGE(D6,G6,J6,M6,P6,S6))</f>
        <v/>
      </c>
      <c r="V6" s="19">
        <f>IF(COUNT(C6,F6,I6,L6,O6,R6)=0,"",SUM(C6,F6,I6,L6,O6,R6))</f>
        <v/>
      </c>
    </row>
    <row r="7">
      <c r="A7" s="20">
        <f>'Preencher pelo celular'!A20</f>
        <v/>
      </c>
      <c r="B7" s="21">
        <f>IF('Preencher pelo celular'!C20="","",'Preencher pelo celular'!C20)</f>
        <v/>
      </c>
      <c r="C7" s="21">
        <f>IF('Preencher pelo celular'!D20="","",'Preencher pelo celular'!D20)</f>
        <v/>
      </c>
      <c r="D7" s="21">
        <f>IF('Preencher pelo celular'!F20="","",'Preencher pelo celular'!F20)</f>
        <v/>
      </c>
      <c r="E7" s="21">
        <f>IF('Preencher pelo celular'!C21="","",'Preencher pelo celular'!C21)</f>
        <v/>
      </c>
      <c r="F7" s="21">
        <f>IF('Preencher pelo celular'!D21="","",'Preencher pelo celular'!D21)</f>
        <v/>
      </c>
      <c r="G7" s="21">
        <f>IF('Preencher pelo celular'!F21="","",'Preencher pelo celular'!F21)</f>
        <v/>
      </c>
      <c r="H7" s="21">
        <f>IF('Preencher pelo celular'!C22="","",'Preencher pelo celular'!C22)</f>
        <v/>
      </c>
      <c r="I7" s="21">
        <f>IF('Preencher pelo celular'!D22="","",'Preencher pelo celular'!D22)</f>
        <v/>
      </c>
      <c r="J7" s="21">
        <f>IF('Preencher pelo celular'!F22="","",'Preencher pelo celular'!F22)</f>
        <v/>
      </c>
      <c r="K7" s="21">
        <f>IF('Preencher pelo celular'!C23="","",'Preencher pelo celular'!C23)</f>
        <v/>
      </c>
      <c r="L7" s="21">
        <f>IF('Preencher pelo celular'!D23="","",'Preencher pelo celular'!D23)</f>
        <v/>
      </c>
      <c r="M7" s="21">
        <f>IF('Preencher pelo celular'!F23="","",'Preencher pelo celular'!F23)</f>
        <v/>
      </c>
      <c r="N7" s="21">
        <f>IF('Preencher pelo celular'!C24="","",'Preencher pelo celular'!C24)</f>
        <v/>
      </c>
      <c r="O7" s="21">
        <f>IF('Preencher pelo celular'!D24="","",'Preencher pelo celular'!D24)</f>
        <v/>
      </c>
      <c r="P7" s="21">
        <f>IF('Preencher pelo celular'!F24="","",'Preencher pelo celular'!F24)</f>
        <v/>
      </c>
      <c r="Q7" s="21">
        <f>IF('Preencher pelo celular'!C25="","",'Preencher pelo celular'!C25)</f>
        <v/>
      </c>
      <c r="R7" s="21">
        <f>IF('Preencher pelo celular'!D25="","",'Preencher pelo celular'!D25)</f>
        <v/>
      </c>
      <c r="S7" s="21">
        <f>IF('Preencher pelo celular'!F25="","",'Preencher pelo celular'!F25)</f>
        <v/>
      </c>
      <c r="T7" s="19">
        <f>IF(COUNT(B7,E7,H7,K7,N7,Q7)=0,"",AVERAGE(B7,E7,H7,K7,N7,Q7))</f>
        <v/>
      </c>
      <c r="U7" s="19">
        <f>IF(COUNT(D7,G7,J7,M7,P7,S7)=0,"",AVERAGE(D7,G7,J7,M7,P7,S7))</f>
        <v/>
      </c>
      <c r="V7" s="19">
        <f>IF(COUNT(C7,F7,I7,L7,O7,R7)=0,"",SUM(C7,F7,I7,L7,O7,R7))</f>
        <v/>
      </c>
    </row>
    <row r="8">
      <c r="A8" s="18">
        <f>'Preencher pelo celular'!A26</f>
        <v/>
      </c>
      <c r="B8" s="14">
        <f>IF('Preencher pelo celular'!C26="","",'Preencher pelo celular'!C26)</f>
        <v/>
      </c>
      <c r="C8" s="14">
        <f>IF('Preencher pelo celular'!D26="","",'Preencher pelo celular'!D26)</f>
        <v/>
      </c>
      <c r="D8" s="14">
        <f>IF('Preencher pelo celular'!F26="","",'Preencher pelo celular'!F26)</f>
        <v/>
      </c>
      <c r="E8" s="14">
        <f>IF('Preencher pelo celular'!C27="","",'Preencher pelo celular'!C27)</f>
        <v/>
      </c>
      <c r="F8" s="14">
        <f>IF('Preencher pelo celular'!D27="","",'Preencher pelo celular'!D27)</f>
        <v/>
      </c>
      <c r="G8" s="14">
        <f>IF('Preencher pelo celular'!F27="","",'Preencher pelo celular'!F27)</f>
        <v/>
      </c>
      <c r="H8" s="14">
        <f>IF('Preencher pelo celular'!C28="","",'Preencher pelo celular'!C28)</f>
        <v/>
      </c>
      <c r="I8" s="14">
        <f>IF('Preencher pelo celular'!D28="","",'Preencher pelo celular'!D28)</f>
        <v/>
      </c>
      <c r="J8" s="14">
        <f>IF('Preencher pelo celular'!F28="","",'Preencher pelo celular'!F28)</f>
        <v/>
      </c>
      <c r="K8" s="14">
        <f>IF('Preencher pelo celular'!C29="","",'Preencher pelo celular'!C29)</f>
        <v/>
      </c>
      <c r="L8" s="14">
        <f>IF('Preencher pelo celular'!D29="","",'Preencher pelo celular'!D29)</f>
        <v/>
      </c>
      <c r="M8" s="14">
        <f>IF('Preencher pelo celular'!F29="","",'Preencher pelo celular'!F29)</f>
        <v/>
      </c>
      <c r="N8" s="14">
        <f>IF('Preencher pelo celular'!C30="","",'Preencher pelo celular'!C30)</f>
        <v/>
      </c>
      <c r="O8" s="14">
        <f>IF('Preencher pelo celular'!D30="","",'Preencher pelo celular'!D30)</f>
        <v/>
      </c>
      <c r="P8" s="14">
        <f>IF('Preencher pelo celular'!F30="","",'Preencher pelo celular'!F30)</f>
        <v/>
      </c>
      <c r="Q8" s="14">
        <f>IF('Preencher pelo celular'!C31="","",'Preencher pelo celular'!C31)</f>
        <v/>
      </c>
      <c r="R8" s="14">
        <f>IF('Preencher pelo celular'!D31="","",'Preencher pelo celular'!D31)</f>
        <v/>
      </c>
      <c r="S8" s="14">
        <f>IF('Preencher pelo celular'!F31="","",'Preencher pelo celular'!F31)</f>
        <v/>
      </c>
      <c r="T8" s="19">
        <f>IF(COUNT(B8,E8,H8,K8,N8,Q8)=0,"",AVERAGE(B8,E8,H8,K8,N8,Q8))</f>
        <v/>
      </c>
      <c r="U8" s="19">
        <f>IF(COUNT(D8,G8,J8,M8,P8,S8)=0,"",AVERAGE(D8,G8,J8,M8,P8,S8))</f>
        <v/>
      </c>
      <c r="V8" s="19">
        <f>IF(COUNT(C8,F8,I8,L8,O8,R8)=0,"",SUM(C8,F8,I8,L8,O8,R8))</f>
        <v/>
      </c>
    </row>
    <row r="9">
      <c r="A9" s="20">
        <f>'Preencher pelo celular'!A32</f>
        <v/>
      </c>
      <c r="B9" s="21">
        <f>IF('Preencher pelo celular'!C32="","",'Preencher pelo celular'!C32)</f>
        <v/>
      </c>
      <c r="C9" s="21">
        <f>IF('Preencher pelo celular'!D32="","",'Preencher pelo celular'!D32)</f>
        <v/>
      </c>
      <c r="D9" s="21">
        <f>IF('Preencher pelo celular'!F32="","",'Preencher pelo celular'!F32)</f>
        <v/>
      </c>
      <c r="E9" s="21">
        <f>IF('Preencher pelo celular'!C33="","",'Preencher pelo celular'!C33)</f>
        <v/>
      </c>
      <c r="F9" s="21">
        <f>IF('Preencher pelo celular'!D33="","",'Preencher pelo celular'!D33)</f>
        <v/>
      </c>
      <c r="G9" s="21">
        <f>IF('Preencher pelo celular'!F33="","",'Preencher pelo celular'!F33)</f>
        <v/>
      </c>
      <c r="H9" s="21">
        <f>IF('Preencher pelo celular'!C34="","",'Preencher pelo celular'!C34)</f>
        <v/>
      </c>
      <c r="I9" s="21">
        <f>IF('Preencher pelo celular'!D34="","",'Preencher pelo celular'!D34)</f>
        <v/>
      </c>
      <c r="J9" s="21">
        <f>IF('Preencher pelo celular'!F34="","",'Preencher pelo celular'!F34)</f>
        <v/>
      </c>
      <c r="K9" s="21">
        <f>IF('Preencher pelo celular'!C35="","",'Preencher pelo celular'!C35)</f>
        <v/>
      </c>
      <c r="L9" s="21">
        <f>IF('Preencher pelo celular'!D35="","",'Preencher pelo celular'!D35)</f>
        <v/>
      </c>
      <c r="M9" s="21">
        <f>IF('Preencher pelo celular'!F35="","",'Preencher pelo celular'!F35)</f>
        <v/>
      </c>
      <c r="N9" s="21">
        <f>IF('Preencher pelo celular'!C36="","",'Preencher pelo celular'!C36)</f>
        <v/>
      </c>
      <c r="O9" s="21">
        <f>IF('Preencher pelo celular'!D36="","",'Preencher pelo celular'!D36)</f>
        <v/>
      </c>
      <c r="P9" s="21">
        <f>IF('Preencher pelo celular'!F36="","",'Preencher pelo celular'!F36)</f>
        <v/>
      </c>
      <c r="Q9" s="21">
        <f>IF('Preencher pelo celular'!C37="","",'Preencher pelo celular'!C37)</f>
        <v/>
      </c>
      <c r="R9" s="21">
        <f>IF('Preencher pelo celular'!D37="","",'Preencher pelo celular'!D37)</f>
        <v/>
      </c>
      <c r="S9" s="21">
        <f>IF('Preencher pelo celular'!F37="","",'Preencher pelo celular'!F37)</f>
        <v/>
      </c>
      <c r="T9" s="19">
        <f>IF(COUNT(B9,E9,H9,K9,N9,Q9)=0,"",AVERAGE(B9,E9,H9,K9,N9,Q9))</f>
        <v/>
      </c>
      <c r="U9" s="19">
        <f>IF(COUNT(D9,G9,J9,M9,P9,S9)=0,"",AVERAGE(D9,G9,J9,M9,P9,S9))</f>
        <v/>
      </c>
      <c r="V9" s="19">
        <f>IF(COUNT(C9,F9,I9,L9,O9,R9)=0,"",SUM(C9,F9,I9,L9,O9,R9))</f>
        <v/>
      </c>
    </row>
    <row r="10">
      <c r="A10" s="18">
        <f>'Preencher pelo celular'!A38</f>
        <v/>
      </c>
      <c r="B10" s="14">
        <f>IF('Preencher pelo celular'!C38="","",'Preencher pelo celular'!C38)</f>
        <v/>
      </c>
      <c r="C10" s="14">
        <f>IF('Preencher pelo celular'!D38="","",'Preencher pelo celular'!D38)</f>
        <v/>
      </c>
      <c r="D10" s="14">
        <f>IF('Preencher pelo celular'!F38="","",'Preencher pelo celular'!F38)</f>
        <v/>
      </c>
      <c r="E10" s="14">
        <f>IF('Preencher pelo celular'!C39="","",'Preencher pelo celular'!C39)</f>
        <v/>
      </c>
      <c r="F10" s="14">
        <f>IF('Preencher pelo celular'!D39="","",'Preencher pelo celular'!D39)</f>
        <v/>
      </c>
      <c r="G10" s="14">
        <f>IF('Preencher pelo celular'!F39="","",'Preencher pelo celular'!F39)</f>
        <v/>
      </c>
      <c r="H10" s="14">
        <f>IF('Preencher pelo celular'!C40="","",'Preencher pelo celular'!C40)</f>
        <v/>
      </c>
      <c r="I10" s="14">
        <f>IF('Preencher pelo celular'!D40="","",'Preencher pelo celular'!D40)</f>
        <v/>
      </c>
      <c r="J10" s="14">
        <f>IF('Preencher pelo celular'!F40="","",'Preencher pelo celular'!F40)</f>
        <v/>
      </c>
      <c r="K10" s="14">
        <f>IF('Preencher pelo celular'!C41="","",'Preencher pelo celular'!C41)</f>
        <v/>
      </c>
      <c r="L10" s="14">
        <f>IF('Preencher pelo celular'!D41="","",'Preencher pelo celular'!D41)</f>
        <v/>
      </c>
      <c r="M10" s="14">
        <f>IF('Preencher pelo celular'!F41="","",'Preencher pelo celular'!F41)</f>
        <v/>
      </c>
      <c r="N10" s="14">
        <f>IF('Preencher pelo celular'!C42="","",'Preencher pelo celular'!C42)</f>
        <v/>
      </c>
      <c r="O10" s="14">
        <f>IF('Preencher pelo celular'!D42="","",'Preencher pelo celular'!D42)</f>
        <v/>
      </c>
      <c r="P10" s="14">
        <f>IF('Preencher pelo celular'!F42="","",'Preencher pelo celular'!F42)</f>
        <v/>
      </c>
      <c r="Q10" s="14">
        <f>IF('Preencher pelo celular'!C43="","",'Preencher pelo celular'!C43)</f>
        <v/>
      </c>
      <c r="R10" s="14">
        <f>IF('Preencher pelo celular'!D43="","",'Preencher pelo celular'!D43)</f>
        <v/>
      </c>
      <c r="S10" s="14">
        <f>IF('Preencher pelo celular'!F43="","",'Preencher pelo celular'!F43)</f>
        <v/>
      </c>
      <c r="T10" s="19">
        <f>IF(COUNT(B10,E10,H10,K10,N10,Q10)=0,"",AVERAGE(B10,E10,H10,K10,N10,Q10))</f>
        <v/>
      </c>
      <c r="U10" s="19">
        <f>IF(COUNT(D10,G10,J10,M10,P10,S10)=0,"",AVERAGE(D10,G10,J10,M10,P10,S10))</f>
        <v/>
      </c>
      <c r="V10" s="19">
        <f>IF(COUNT(C10,F10,I10,L10,O10,R10)=0,"",SUM(C10,F10,I10,L10,O10,R10))</f>
        <v/>
      </c>
    </row>
    <row r="11">
      <c r="A11" s="20">
        <f>'Preencher pelo celular'!A44</f>
        <v/>
      </c>
      <c r="B11" s="21">
        <f>IF('Preencher pelo celular'!C44="","",'Preencher pelo celular'!C44)</f>
        <v/>
      </c>
      <c r="C11" s="21">
        <f>IF('Preencher pelo celular'!D44="","",'Preencher pelo celular'!D44)</f>
        <v/>
      </c>
      <c r="D11" s="21">
        <f>IF('Preencher pelo celular'!F44="","",'Preencher pelo celular'!F44)</f>
        <v/>
      </c>
      <c r="E11" s="21">
        <f>IF('Preencher pelo celular'!C45="","",'Preencher pelo celular'!C45)</f>
        <v/>
      </c>
      <c r="F11" s="21">
        <f>IF('Preencher pelo celular'!D45="","",'Preencher pelo celular'!D45)</f>
        <v/>
      </c>
      <c r="G11" s="21">
        <f>IF('Preencher pelo celular'!F45="","",'Preencher pelo celular'!F45)</f>
        <v/>
      </c>
      <c r="H11" s="21">
        <f>IF('Preencher pelo celular'!C46="","",'Preencher pelo celular'!C46)</f>
        <v/>
      </c>
      <c r="I11" s="21">
        <f>IF('Preencher pelo celular'!D46="","",'Preencher pelo celular'!D46)</f>
        <v/>
      </c>
      <c r="J11" s="21">
        <f>IF('Preencher pelo celular'!F46="","",'Preencher pelo celular'!F46)</f>
        <v/>
      </c>
      <c r="K11" s="21">
        <f>IF('Preencher pelo celular'!C47="","",'Preencher pelo celular'!C47)</f>
        <v/>
      </c>
      <c r="L11" s="21">
        <f>IF('Preencher pelo celular'!D47="","",'Preencher pelo celular'!D47)</f>
        <v/>
      </c>
      <c r="M11" s="21">
        <f>IF('Preencher pelo celular'!F47="","",'Preencher pelo celular'!F47)</f>
        <v/>
      </c>
      <c r="N11" s="21">
        <f>IF('Preencher pelo celular'!C48="","",'Preencher pelo celular'!C48)</f>
        <v/>
      </c>
      <c r="O11" s="21">
        <f>IF('Preencher pelo celular'!D48="","",'Preencher pelo celular'!D48)</f>
        <v/>
      </c>
      <c r="P11" s="21">
        <f>IF('Preencher pelo celular'!F48="","",'Preencher pelo celular'!F48)</f>
        <v/>
      </c>
      <c r="Q11" s="21">
        <f>IF('Preencher pelo celular'!C49="","",'Preencher pelo celular'!C49)</f>
        <v/>
      </c>
      <c r="R11" s="21">
        <f>IF('Preencher pelo celular'!D49="","",'Preencher pelo celular'!D49)</f>
        <v/>
      </c>
      <c r="S11" s="21">
        <f>IF('Preencher pelo celular'!F49="","",'Preencher pelo celular'!F49)</f>
        <v/>
      </c>
      <c r="T11" s="19">
        <f>IF(COUNT(B11,E11,H11,K11,N11,Q11)=0,"",AVERAGE(B11,E11,H11,K11,N11,Q11))</f>
        <v/>
      </c>
      <c r="U11" s="19">
        <f>IF(COUNT(D11,G11,J11,M11,P11,S11)=0,"",AVERAGE(D11,G11,J11,M11,P11,S11))</f>
        <v/>
      </c>
      <c r="V11" s="19">
        <f>IF(COUNT(C11,F11,I11,L11,O11,R11)=0,"",SUM(C11,F11,I11,L11,O11,R11))</f>
        <v/>
      </c>
    </row>
    <row r="12">
      <c r="A12" s="18">
        <f>'Preencher pelo celular'!A50</f>
        <v/>
      </c>
      <c r="B12" s="14">
        <f>IF('Preencher pelo celular'!C50="","",'Preencher pelo celular'!C50)</f>
        <v/>
      </c>
      <c r="C12" s="14">
        <f>IF('Preencher pelo celular'!D50="","",'Preencher pelo celular'!D50)</f>
        <v/>
      </c>
      <c r="D12" s="14">
        <f>IF('Preencher pelo celular'!F50="","",'Preencher pelo celular'!F50)</f>
        <v/>
      </c>
      <c r="E12" s="14">
        <f>IF('Preencher pelo celular'!C51="","",'Preencher pelo celular'!C51)</f>
        <v/>
      </c>
      <c r="F12" s="14">
        <f>IF('Preencher pelo celular'!D51="","",'Preencher pelo celular'!D51)</f>
        <v/>
      </c>
      <c r="G12" s="14">
        <f>IF('Preencher pelo celular'!F51="","",'Preencher pelo celular'!F51)</f>
        <v/>
      </c>
      <c r="H12" s="14">
        <f>IF('Preencher pelo celular'!C52="","",'Preencher pelo celular'!C52)</f>
        <v/>
      </c>
      <c r="I12" s="14">
        <f>IF('Preencher pelo celular'!D52="","",'Preencher pelo celular'!D52)</f>
        <v/>
      </c>
      <c r="J12" s="14">
        <f>IF('Preencher pelo celular'!F52="","",'Preencher pelo celular'!F52)</f>
        <v/>
      </c>
      <c r="K12" s="14">
        <f>IF('Preencher pelo celular'!C53="","",'Preencher pelo celular'!C53)</f>
        <v/>
      </c>
      <c r="L12" s="14">
        <f>IF('Preencher pelo celular'!D53="","",'Preencher pelo celular'!D53)</f>
        <v/>
      </c>
      <c r="M12" s="14">
        <f>IF('Preencher pelo celular'!F53="","",'Preencher pelo celular'!F53)</f>
        <v/>
      </c>
      <c r="N12" s="14">
        <f>IF('Preencher pelo celular'!C54="","",'Preencher pelo celular'!C54)</f>
        <v/>
      </c>
      <c r="O12" s="14">
        <f>IF('Preencher pelo celular'!D54="","",'Preencher pelo celular'!D54)</f>
        <v/>
      </c>
      <c r="P12" s="14">
        <f>IF('Preencher pelo celular'!F54="","",'Preencher pelo celular'!F54)</f>
        <v/>
      </c>
      <c r="Q12" s="14">
        <f>IF('Preencher pelo celular'!C55="","",'Preencher pelo celular'!C55)</f>
        <v/>
      </c>
      <c r="R12" s="14">
        <f>IF('Preencher pelo celular'!D55="","",'Preencher pelo celular'!D55)</f>
        <v/>
      </c>
      <c r="S12" s="14">
        <f>IF('Preencher pelo celular'!F55="","",'Preencher pelo celular'!F55)</f>
        <v/>
      </c>
      <c r="T12" s="19">
        <f>IF(COUNT(B12,E12,H12,K12,N12,Q12)=0,"",AVERAGE(B12,E12,H12,K12,N12,Q12))</f>
        <v/>
      </c>
      <c r="U12" s="19">
        <f>IF(COUNT(D12,G12,J12,M12,P12,S12)=0,"",AVERAGE(D12,G12,J12,M12,P12,S12))</f>
        <v/>
      </c>
      <c r="V12" s="19">
        <f>IF(COUNT(C12,F12,I12,L12,O12,R12)=0,"",SUM(C12,F12,I12,L12,O12,R12))</f>
        <v/>
      </c>
    </row>
    <row r="13">
      <c r="A13" s="20">
        <f>'Preencher pelo celular'!A56</f>
        <v/>
      </c>
      <c r="B13" s="21">
        <f>IF('Preencher pelo celular'!C56="","",'Preencher pelo celular'!C56)</f>
        <v/>
      </c>
      <c r="C13" s="21">
        <f>IF('Preencher pelo celular'!D56="","",'Preencher pelo celular'!D56)</f>
        <v/>
      </c>
      <c r="D13" s="21">
        <f>IF('Preencher pelo celular'!F56="","",'Preencher pelo celular'!F56)</f>
        <v/>
      </c>
      <c r="E13" s="21">
        <f>IF('Preencher pelo celular'!C57="","",'Preencher pelo celular'!C57)</f>
        <v/>
      </c>
      <c r="F13" s="21">
        <f>IF('Preencher pelo celular'!D57="","",'Preencher pelo celular'!D57)</f>
        <v/>
      </c>
      <c r="G13" s="21">
        <f>IF('Preencher pelo celular'!F57="","",'Preencher pelo celular'!F57)</f>
        <v/>
      </c>
      <c r="H13" s="21">
        <f>IF('Preencher pelo celular'!C58="","",'Preencher pelo celular'!C58)</f>
        <v/>
      </c>
      <c r="I13" s="21">
        <f>IF('Preencher pelo celular'!D58="","",'Preencher pelo celular'!D58)</f>
        <v/>
      </c>
      <c r="J13" s="21">
        <f>IF('Preencher pelo celular'!F58="","",'Preencher pelo celular'!F58)</f>
        <v/>
      </c>
      <c r="K13" s="21">
        <f>IF('Preencher pelo celular'!C59="","",'Preencher pelo celular'!C59)</f>
        <v/>
      </c>
      <c r="L13" s="21">
        <f>IF('Preencher pelo celular'!D59="","",'Preencher pelo celular'!D59)</f>
        <v/>
      </c>
      <c r="M13" s="21">
        <f>IF('Preencher pelo celular'!F59="","",'Preencher pelo celular'!F59)</f>
        <v/>
      </c>
      <c r="N13" s="21">
        <f>IF('Preencher pelo celular'!C60="","",'Preencher pelo celular'!C60)</f>
        <v/>
      </c>
      <c r="O13" s="21">
        <f>IF('Preencher pelo celular'!D60="","",'Preencher pelo celular'!D60)</f>
        <v/>
      </c>
      <c r="P13" s="21">
        <f>IF('Preencher pelo celular'!F60="","",'Preencher pelo celular'!F60)</f>
        <v/>
      </c>
      <c r="Q13" s="21">
        <f>IF('Preencher pelo celular'!C61="","",'Preencher pelo celular'!C61)</f>
        <v/>
      </c>
      <c r="R13" s="21">
        <f>IF('Preencher pelo celular'!D61="","",'Preencher pelo celular'!D61)</f>
        <v/>
      </c>
      <c r="S13" s="21">
        <f>IF('Preencher pelo celular'!F61="","",'Preencher pelo celular'!F61)</f>
        <v/>
      </c>
      <c r="T13" s="19">
        <f>IF(COUNT(B13,E13,H13,K13,N13,Q13)=0,"",AVERAGE(B13,E13,H13,K13,N13,Q13))</f>
        <v/>
      </c>
      <c r="U13" s="19">
        <f>IF(COUNT(D13,G13,J13,M13,P13,S13)=0,"",AVERAGE(D13,G13,J13,M13,P13,S13))</f>
        <v/>
      </c>
      <c r="V13" s="19">
        <f>IF(COUNT(C13,F13,I13,L13,O13,R13)=0,"",SUM(C13,F13,I13,L13,O13,R13))</f>
        <v/>
      </c>
    </row>
    <row r="14">
      <c r="A14" s="18">
        <f>'Preencher pelo celular'!A62</f>
        <v/>
      </c>
      <c r="B14" s="14">
        <f>IF('Preencher pelo celular'!C62="","",'Preencher pelo celular'!C62)</f>
        <v/>
      </c>
      <c r="C14" s="14">
        <f>IF('Preencher pelo celular'!D62="","",'Preencher pelo celular'!D62)</f>
        <v/>
      </c>
      <c r="D14" s="14">
        <f>IF('Preencher pelo celular'!F62="","",'Preencher pelo celular'!F62)</f>
        <v/>
      </c>
      <c r="E14" s="14">
        <f>IF('Preencher pelo celular'!C63="","",'Preencher pelo celular'!C63)</f>
        <v/>
      </c>
      <c r="F14" s="14">
        <f>IF('Preencher pelo celular'!D63="","",'Preencher pelo celular'!D63)</f>
        <v/>
      </c>
      <c r="G14" s="14">
        <f>IF('Preencher pelo celular'!F63="","",'Preencher pelo celular'!F63)</f>
        <v/>
      </c>
      <c r="H14" s="14">
        <f>IF('Preencher pelo celular'!C64="","",'Preencher pelo celular'!C64)</f>
        <v/>
      </c>
      <c r="I14" s="14">
        <f>IF('Preencher pelo celular'!D64="","",'Preencher pelo celular'!D64)</f>
        <v/>
      </c>
      <c r="J14" s="14">
        <f>IF('Preencher pelo celular'!F64="","",'Preencher pelo celular'!F64)</f>
        <v/>
      </c>
      <c r="K14" s="14">
        <f>IF('Preencher pelo celular'!C65="","",'Preencher pelo celular'!C65)</f>
        <v/>
      </c>
      <c r="L14" s="14">
        <f>IF('Preencher pelo celular'!D65="","",'Preencher pelo celular'!D65)</f>
        <v/>
      </c>
      <c r="M14" s="14">
        <f>IF('Preencher pelo celular'!F65="","",'Preencher pelo celular'!F65)</f>
        <v/>
      </c>
      <c r="N14" s="14">
        <f>IF('Preencher pelo celular'!C66="","",'Preencher pelo celular'!C66)</f>
        <v/>
      </c>
      <c r="O14" s="14">
        <f>IF('Preencher pelo celular'!D66="","",'Preencher pelo celular'!D66)</f>
        <v/>
      </c>
      <c r="P14" s="14">
        <f>IF('Preencher pelo celular'!F66="","",'Preencher pelo celular'!F66)</f>
        <v/>
      </c>
      <c r="Q14" s="14">
        <f>IF('Preencher pelo celular'!C67="","",'Preencher pelo celular'!C67)</f>
        <v/>
      </c>
      <c r="R14" s="14">
        <f>IF('Preencher pelo celular'!D67="","",'Preencher pelo celular'!D67)</f>
        <v/>
      </c>
      <c r="S14" s="14">
        <f>IF('Preencher pelo celular'!F67="","",'Preencher pelo celular'!F67)</f>
        <v/>
      </c>
      <c r="T14" s="19">
        <f>IF(COUNT(B14,E14,H14,K14,N14,Q14)=0,"",AVERAGE(B14,E14,H14,K14,N14,Q14))</f>
        <v/>
      </c>
      <c r="U14" s="19">
        <f>IF(COUNT(D14,G14,J14,M14,P14,S14)=0,"",AVERAGE(D14,G14,J14,M14,P14,S14))</f>
        <v/>
      </c>
      <c r="V14" s="19">
        <f>IF(COUNT(C14,F14,I14,L14,O14,R14)=0,"",SUM(C14,F14,I14,L14,O14,R14))</f>
        <v/>
      </c>
    </row>
    <row r="15">
      <c r="A15" s="20">
        <f>'Preencher pelo celular'!A68</f>
        <v/>
      </c>
      <c r="B15" s="21">
        <f>IF('Preencher pelo celular'!C68="","",'Preencher pelo celular'!C68)</f>
        <v/>
      </c>
      <c r="C15" s="21">
        <f>IF('Preencher pelo celular'!D68="","",'Preencher pelo celular'!D68)</f>
        <v/>
      </c>
      <c r="D15" s="21">
        <f>IF('Preencher pelo celular'!F68="","",'Preencher pelo celular'!F68)</f>
        <v/>
      </c>
      <c r="E15" s="21">
        <f>IF('Preencher pelo celular'!C69="","",'Preencher pelo celular'!C69)</f>
        <v/>
      </c>
      <c r="F15" s="21">
        <f>IF('Preencher pelo celular'!D69="","",'Preencher pelo celular'!D69)</f>
        <v/>
      </c>
      <c r="G15" s="21">
        <f>IF('Preencher pelo celular'!F69="","",'Preencher pelo celular'!F69)</f>
        <v/>
      </c>
      <c r="H15" s="21">
        <f>IF('Preencher pelo celular'!C70="","",'Preencher pelo celular'!C70)</f>
        <v/>
      </c>
      <c r="I15" s="21">
        <f>IF('Preencher pelo celular'!D70="","",'Preencher pelo celular'!D70)</f>
        <v/>
      </c>
      <c r="J15" s="21">
        <f>IF('Preencher pelo celular'!F70="","",'Preencher pelo celular'!F70)</f>
        <v/>
      </c>
      <c r="K15" s="21">
        <f>IF('Preencher pelo celular'!C71="","",'Preencher pelo celular'!C71)</f>
        <v/>
      </c>
      <c r="L15" s="21">
        <f>IF('Preencher pelo celular'!D71="","",'Preencher pelo celular'!D71)</f>
        <v/>
      </c>
      <c r="M15" s="21">
        <f>IF('Preencher pelo celular'!F71="","",'Preencher pelo celular'!F71)</f>
        <v/>
      </c>
      <c r="N15" s="21">
        <f>IF('Preencher pelo celular'!C72="","",'Preencher pelo celular'!C72)</f>
        <v/>
      </c>
      <c r="O15" s="21">
        <f>IF('Preencher pelo celular'!D72="","",'Preencher pelo celular'!D72)</f>
        <v/>
      </c>
      <c r="P15" s="21">
        <f>IF('Preencher pelo celular'!F72="","",'Preencher pelo celular'!F72)</f>
        <v/>
      </c>
      <c r="Q15" s="21">
        <f>IF('Preencher pelo celular'!C73="","",'Preencher pelo celular'!C73)</f>
        <v/>
      </c>
      <c r="R15" s="21">
        <f>IF('Preencher pelo celular'!D73="","",'Preencher pelo celular'!D73)</f>
        <v/>
      </c>
      <c r="S15" s="21">
        <f>IF('Preencher pelo celular'!F73="","",'Preencher pelo celular'!F73)</f>
        <v/>
      </c>
      <c r="T15" s="19">
        <f>IF(COUNT(B15,E15,H15,K15,N15,Q15)=0,"",AVERAGE(B15,E15,H15,K15,N15,Q15))</f>
        <v/>
      </c>
      <c r="U15" s="19">
        <f>IF(COUNT(D15,G15,J15,M15,P15,S15)=0,"",AVERAGE(D15,G15,J15,M15,P15,S15))</f>
        <v/>
      </c>
      <c r="V15" s="19">
        <f>IF(COUNT(C15,F15,I15,L15,O15,R15)=0,"",SUM(C15,F15,I15,L15,O15,R15))</f>
        <v/>
      </c>
    </row>
    <row r="16">
      <c r="A16" s="18">
        <f>'Preencher pelo celular'!A74</f>
        <v/>
      </c>
      <c r="B16" s="14">
        <f>IF('Preencher pelo celular'!C74="","",'Preencher pelo celular'!C74)</f>
        <v/>
      </c>
      <c r="C16" s="14">
        <f>IF('Preencher pelo celular'!D74="","",'Preencher pelo celular'!D74)</f>
        <v/>
      </c>
      <c r="D16" s="14">
        <f>IF('Preencher pelo celular'!F74="","",'Preencher pelo celular'!F74)</f>
        <v/>
      </c>
      <c r="E16" s="14">
        <f>IF('Preencher pelo celular'!C75="","",'Preencher pelo celular'!C75)</f>
        <v/>
      </c>
      <c r="F16" s="14">
        <f>IF('Preencher pelo celular'!D75="","",'Preencher pelo celular'!D75)</f>
        <v/>
      </c>
      <c r="G16" s="14">
        <f>IF('Preencher pelo celular'!F75="","",'Preencher pelo celular'!F75)</f>
        <v/>
      </c>
      <c r="H16" s="14">
        <f>IF('Preencher pelo celular'!C76="","",'Preencher pelo celular'!C76)</f>
        <v/>
      </c>
      <c r="I16" s="14">
        <f>IF('Preencher pelo celular'!D76="","",'Preencher pelo celular'!D76)</f>
        <v/>
      </c>
      <c r="J16" s="14">
        <f>IF('Preencher pelo celular'!F76="","",'Preencher pelo celular'!F76)</f>
        <v/>
      </c>
      <c r="K16" s="14">
        <f>IF('Preencher pelo celular'!C77="","",'Preencher pelo celular'!C77)</f>
        <v/>
      </c>
      <c r="L16" s="14">
        <f>IF('Preencher pelo celular'!D77="","",'Preencher pelo celular'!D77)</f>
        <v/>
      </c>
      <c r="M16" s="14">
        <f>IF('Preencher pelo celular'!F77="","",'Preencher pelo celular'!F77)</f>
        <v/>
      </c>
      <c r="N16" s="14">
        <f>IF('Preencher pelo celular'!C78="","",'Preencher pelo celular'!C78)</f>
        <v/>
      </c>
      <c r="O16" s="14">
        <f>IF('Preencher pelo celular'!D78="","",'Preencher pelo celular'!D78)</f>
        <v/>
      </c>
      <c r="P16" s="14">
        <f>IF('Preencher pelo celular'!F78="","",'Preencher pelo celular'!F78)</f>
        <v/>
      </c>
      <c r="Q16" s="14">
        <f>IF('Preencher pelo celular'!C79="","",'Preencher pelo celular'!C79)</f>
        <v/>
      </c>
      <c r="R16" s="14">
        <f>IF('Preencher pelo celular'!D79="","",'Preencher pelo celular'!D79)</f>
        <v/>
      </c>
      <c r="S16" s="14">
        <f>IF('Preencher pelo celular'!F79="","",'Preencher pelo celular'!F79)</f>
        <v/>
      </c>
      <c r="T16" s="19">
        <f>IF(COUNT(B16,E16,H16,K16,N16,Q16)=0,"",AVERAGE(B16,E16,H16,K16,N16,Q16))</f>
        <v/>
      </c>
      <c r="U16" s="19">
        <f>IF(COUNT(D16,G16,J16,M16,P16,S16)=0,"",AVERAGE(D16,G16,J16,M16,P16,S16))</f>
        <v/>
      </c>
      <c r="V16" s="19">
        <f>IF(COUNT(C16,F16,I16,L16,O16,R16)=0,"",SUM(C16,F16,I16,L16,O16,R16))</f>
        <v/>
      </c>
    </row>
    <row r="17">
      <c r="A17" s="20">
        <f>'Preencher pelo celular'!A80</f>
        <v/>
      </c>
      <c r="B17" s="21">
        <f>IF('Preencher pelo celular'!C80="","",'Preencher pelo celular'!C80)</f>
        <v/>
      </c>
      <c r="C17" s="21">
        <f>IF('Preencher pelo celular'!D80="","",'Preencher pelo celular'!D80)</f>
        <v/>
      </c>
      <c r="D17" s="21">
        <f>IF('Preencher pelo celular'!F80="","",'Preencher pelo celular'!F80)</f>
        <v/>
      </c>
      <c r="E17" s="21">
        <f>IF('Preencher pelo celular'!C81="","",'Preencher pelo celular'!C81)</f>
        <v/>
      </c>
      <c r="F17" s="21">
        <f>IF('Preencher pelo celular'!D81="","",'Preencher pelo celular'!D81)</f>
        <v/>
      </c>
      <c r="G17" s="21">
        <f>IF('Preencher pelo celular'!F81="","",'Preencher pelo celular'!F81)</f>
        <v/>
      </c>
      <c r="H17" s="21">
        <f>IF('Preencher pelo celular'!C82="","",'Preencher pelo celular'!C82)</f>
        <v/>
      </c>
      <c r="I17" s="21">
        <f>IF('Preencher pelo celular'!D82="","",'Preencher pelo celular'!D82)</f>
        <v/>
      </c>
      <c r="J17" s="21">
        <f>IF('Preencher pelo celular'!F82="","",'Preencher pelo celular'!F82)</f>
        <v/>
      </c>
      <c r="K17" s="21">
        <f>IF('Preencher pelo celular'!C83="","",'Preencher pelo celular'!C83)</f>
        <v/>
      </c>
      <c r="L17" s="21">
        <f>IF('Preencher pelo celular'!D83="","",'Preencher pelo celular'!D83)</f>
        <v/>
      </c>
      <c r="M17" s="21">
        <f>IF('Preencher pelo celular'!F83="","",'Preencher pelo celular'!F83)</f>
        <v/>
      </c>
      <c r="N17" s="21">
        <f>IF('Preencher pelo celular'!C84="","",'Preencher pelo celular'!C84)</f>
        <v/>
      </c>
      <c r="O17" s="21">
        <f>IF('Preencher pelo celular'!D84="","",'Preencher pelo celular'!D84)</f>
        <v/>
      </c>
      <c r="P17" s="21">
        <f>IF('Preencher pelo celular'!F84="","",'Preencher pelo celular'!F84)</f>
        <v/>
      </c>
      <c r="Q17" s="21">
        <f>IF('Preencher pelo celular'!C85="","",'Preencher pelo celular'!C85)</f>
        <v/>
      </c>
      <c r="R17" s="21">
        <f>IF('Preencher pelo celular'!D85="","",'Preencher pelo celular'!D85)</f>
        <v/>
      </c>
      <c r="S17" s="21">
        <f>IF('Preencher pelo celular'!F85="","",'Preencher pelo celular'!F85)</f>
        <v/>
      </c>
      <c r="T17" s="19">
        <f>IF(COUNT(B17,E17,H17,K17,N17,Q17)=0,"",AVERAGE(B17,E17,H17,K17,N17,Q17))</f>
        <v/>
      </c>
      <c r="U17" s="19">
        <f>IF(COUNT(D17,G17,J17,M17,P17,S17)=0,"",AVERAGE(D17,G17,J17,M17,P17,S17))</f>
        <v/>
      </c>
      <c r="V17" s="19">
        <f>IF(COUNT(C17,F17,I17,L17,O17,R17)=0,"",SUM(C17,F17,I17,L17,O17,R17))</f>
        <v/>
      </c>
    </row>
    <row r="18">
      <c r="A18" s="18">
        <f>'Preencher pelo celular'!A86</f>
        <v/>
      </c>
      <c r="B18" s="14">
        <f>IF('Preencher pelo celular'!C86="","",'Preencher pelo celular'!C86)</f>
        <v/>
      </c>
      <c r="C18" s="14">
        <f>IF('Preencher pelo celular'!D86="","",'Preencher pelo celular'!D86)</f>
        <v/>
      </c>
      <c r="D18" s="14">
        <f>IF('Preencher pelo celular'!F86="","",'Preencher pelo celular'!F86)</f>
        <v/>
      </c>
      <c r="E18" s="14">
        <f>IF('Preencher pelo celular'!C87="","",'Preencher pelo celular'!C87)</f>
        <v/>
      </c>
      <c r="F18" s="14">
        <f>IF('Preencher pelo celular'!D87="","",'Preencher pelo celular'!D87)</f>
        <v/>
      </c>
      <c r="G18" s="14">
        <f>IF('Preencher pelo celular'!F87="","",'Preencher pelo celular'!F87)</f>
        <v/>
      </c>
      <c r="H18" s="14">
        <f>IF('Preencher pelo celular'!C88="","",'Preencher pelo celular'!C88)</f>
        <v/>
      </c>
      <c r="I18" s="14">
        <f>IF('Preencher pelo celular'!D88="","",'Preencher pelo celular'!D88)</f>
        <v/>
      </c>
      <c r="J18" s="14">
        <f>IF('Preencher pelo celular'!F88="","",'Preencher pelo celular'!F88)</f>
        <v/>
      </c>
      <c r="K18" s="14">
        <f>IF('Preencher pelo celular'!C89="","",'Preencher pelo celular'!C89)</f>
        <v/>
      </c>
      <c r="L18" s="14">
        <f>IF('Preencher pelo celular'!D89="","",'Preencher pelo celular'!D89)</f>
        <v/>
      </c>
      <c r="M18" s="14">
        <f>IF('Preencher pelo celular'!F89="","",'Preencher pelo celular'!F89)</f>
        <v/>
      </c>
      <c r="N18" s="14">
        <f>IF('Preencher pelo celular'!C90="","",'Preencher pelo celular'!C90)</f>
        <v/>
      </c>
      <c r="O18" s="14">
        <f>IF('Preencher pelo celular'!D90="","",'Preencher pelo celular'!D90)</f>
        <v/>
      </c>
      <c r="P18" s="14">
        <f>IF('Preencher pelo celular'!F90="","",'Preencher pelo celular'!F90)</f>
        <v/>
      </c>
      <c r="Q18" s="14">
        <f>IF('Preencher pelo celular'!C91="","",'Preencher pelo celular'!C91)</f>
        <v/>
      </c>
      <c r="R18" s="14">
        <f>IF('Preencher pelo celular'!D91="","",'Preencher pelo celular'!D91)</f>
        <v/>
      </c>
      <c r="S18" s="14">
        <f>IF('Preencher pelo celular'!F91="","",'Preencher pelo celular'!F91)</f>
        <v/>
      </c>
      <c r="T18" s="19">
        <f>IF(COUNT(B18,E18,H18,K18,N18,Q18)=0,"",AVERAGE(B18,E18,H18,K18,N18,Q18))</f>
        <v/>
      </c>
      <c r="U18" s="19">
        <f>IF(COUNT(D18,G18,J18,M18,P18,S18)=0,"",AVERAGE(D18,G18,J18,M18,P18,S18))</f>
        <v/>
      </c>
      <c r="V18" s="19">
        <f>IF(COUNT(C18,F18,I18,L18,O18,R18)=0,"",SUM(C18,F18,I18,L18,O18,R18))</f>
        <v/>
      </c>
    </row>
    <row r="19">
      <c r="A19" s="20">
        <f>'Preencher pelo celular'!A92</f>
        <v/>
      </c>
      <c r="B19" s="21">
        <f>IF('Preencher pelo celular'!C92="","",'Preencher pelo celular'!C92)</f>
        <v/>
      </c>
      <c r="C19" s="21">
        <f>IF('Preencher pelo celular'!D92="","",'Preencher pelo celular'!D92)</f>
        <v/>
      </c>
      <c r="D19" s="21">
        <f>IF('Preencher pelo celular'!F92="","",'Preencher pelo celular'!F92)</f>
        <v/>
      </c>
      <c r="E19" s="21">
        <f>IF('Preencher pelo celular'!C93="","",'Preencher pelo celular'!C93)</f>
        <v/>
      </c>
      <c r="F19" s="21">
        <f>IF('Preencher pelo celular'!D93="","",'Preencher pelo celular'!D93)</f>
        <v/>
      </c>
      <c r="G19" s="21">
        <f>IF('Preencher pelo celular'!F93="","",'Preencher pelo celular'!F93)</f>
        <v/>
      </c>
      <c r="H19" s="21">
        <f>IF('Preencher pelo celular'!C94="","",'Preencher pelo celular'!C94)</f>
        <v/>
      </c>
      <c r="I19" s="21">
        <f>IF('Preencher pelo celular'!D94="","",'Preencher pelo celular'!D94)</f>
        <v/>
      </c>
      <c r="J19" s="21">
        <f>IF('Preencher pelo celular'!F94="","",'Preencher pelo celular'!F94)</f>
        <v/>
      </c>
      <c r="K19" s="21">
        <f>IF('Preencher pelo celular'!C95="","",'Preencher pelo celular'!C95)</f>
        <v/>
      </c>
      <c r="L19" s="21">
        <f>IF('Preencher pelo celular'!D95="","",'Preencher pelo celular'!D95)</f>
        <v/>
      </c>
      <c r="M19" s="21">
        <f>IF('Preencher pelo celular'!F95="","",'Preencher pelo celular'!F95)</f>
        <v/>
      </c>
      <c r="N19" s="21">
        <f>IF('Preencher pelo celular'!C96="","",'Preencher pelo celular'!C96)</f>
        <v/>
      </c>
      <c r="O19" s="21">
        <f>IF('Preencher pelo celular'!D96="","",'Preencher pelo celular'!D96)</f>
        <v/>
      </c>
      <c r="P19" s="21">
        <f>IF('Preencher pelo celular'!F96="","",'Preencher pelo celular'!F96)</f>
        <v/>
      </c>
      <c r="Q19" s="21">
        <f>IF('Preencher pelo celular'!C97="","",'Preencher pelo celular'!C97)</f>
        <v/>
      </c>
      <c r="R19" s="21">
        <f>IF('Preencher pelo celular'!D97="","",'Preencher pelo celular'!D97)</f>
        <v/>
      </c>
      <c r="S19" s="21">
        <f>IF('Preencher pelo celular'!F97="","",'Preencher pelo celular'!F97)</f>
        <v/>
      </c>
      <c r="T19" s="19">
        <f>IF(COUNT(B19,E19,H19,K19,N19,Q19)=0,"",AVERAGE(B19,E19,H19,K19,N19,Q19))</f>
        <v/>
      </c>
      <c r="U19" s="19">
        <f>IF(COUNT(D19,G19,J19,M19,P19,S19)=0,"",AVERAGE(D19,G19,J19,M19,P19,S19))</f>
        <v/>
      </c>
      <c r="V19" s="19">
        <f>IF(COUNT(C19,F19,I19,L19,O19,R19)=0,"",SUM(C19,F19,I19,L19,O19,R19))</f>
        <v/>
      </c>
    </row>
    <row r="20">
      <c r="A20" s="18">
        <f>'Preencher pelo celular'!A98</f>
        <v/>
      </c>
      <c r="B20" s="14">
        <f>IF('Preencher pelo celular'!C98="","",'Preencher pelo celular'!C98)</f>
        <v/>
      </c>
      <c r="C20" s="14">
        <f>IF('Preencher pelo celular'!D98="","",'Preencher pelo celular'!D98)</f>
        <v/>
      </c>
      <c r="D20" s="14">
        <f>IF('Preencher pelo celular'!F98="","",'Preencher pelo celular'!F98)</f>
        <v/>
      </c>
      <c r="E20" s="14">
        <f>IF('Preencher pelo celular'!C99="","",'Preencher pelo celular'!C99)</f>
        <v/>
      </c>
      <c r="F20" s="14">
        <f>IF('Preencher pelo celular'!D99="","",'Preencher pelo celular'!D99)</f>
        <v/>
      </c>
      <c r="G20" s="14">
        <f>IF('Preencher pelo celular'!F99="","",'Preencher pelo celular'!F99)</f>
        <v/>
      </c>
      <c r="H20" s="14">
        <f>IF('Preencher pelo celular'!C100="","",'Preencher pelo celular'!C100)</f>
        <v/>
      </c>
      <c r="I20" s="14">
        <f>IF('Preencher pelo celular'!D100="","",'Preencher pelo celular'!D100)</f>
        <v/>
      </c>
      <c r="J20" s="14">
        <f>IF('Preencher pelo celular'!F100="","",'Preencher pelo celular'!F100)</f>
        <v/>
      </c>
      <c r="K20" s="14">
        <f>IF('Preencher pelo celular'!C101="","",'Preencher pelo celular'!C101)</f>
        <v/>
      </c>
      <c r="L20" s="14">
        <f>IF('Preencher pelo celular'!D101="","",'Preencher pelo celular'!D101)</f>
        <v/>
      </c>
      <c r="M20" s="14">
        <f>IF('Preencher pelo celular'!F101="","",'Preencher pelo celular'!F101)</f>
        <v/>
      </c>
      <c r="N20" s="14">
        <f>IF('Preencher pelo celular'!C102="","",'Preencher pelo celular'!C102)</f>
        <v/>
      </c>
      <c r="O20" s="14">
        <f>IF('Preencher pelo celular'!D102="","",'Preencher pelo celular'!D102)</f>
        <v/>
      </c>
      <c r="P20" s="14">
        <f>IF('Preencher pelo celular'!F102="","",'Preencher pelo celular'!F102)</f>
        <v/>
      </c>
      <c r="Q20" s="14">
        <f>IF('Preencher pelo celular'!C103="","",'Preencher pelo celular'!C103)</f>
        <v/>
      </c>
      <c r="R20" s="14">
        <f>IF('Preencher pelo celular'!D103="","",'Preencher pelo celular'!D103)</f>
        <v/>
      </c>
      <c r="S20" s="14">
        <f>IF('Preencher pelo celular'!F103="","",'Preencher pelo celular'!F103)</f>
        <v/>
      </c>
      <c r="T20" s="19">
        <f>IF(COUNT(B20,E20,H20,K20,N20,Q20)=0,"",AVERAGE(B20,E20,H20,K20,N20,Q20))</f>
        <v/>
      </c>
      <c r="U20" s="19">
        <f>IF(COUNT(D20,G20,J20,M20,P20,S20)=0,"",AVERAGE(D20,G20,J20,M20,P20,S20))</f>
        <v/>
      </c>
      <c r="V20" s="19">
        <f>IF(COUNT(C20,F20,I20,L20,O20,R20)=0,"",SUM(C20,F20,I20,L20,O20,R20))</f>
        <v/>
      </c>
    </row>
    <row r="21">
      <c r="A21" s="20">
        <f>'Preencher pelo celular'!A104</f>
        <v/>
      </c>
      <c r="B21" s="21">
        <f>IF('Preencher pelo celular'!C104="","",'Preencher pelo celular'!C104)</f>
        <v/>
      </c>
      <c r="C21" s="21">
        <f>IF('Preencher pelo celular'!D104="","",'Preencher pelo celular'!D104)</f>
        <v/>
      </c>
      <c r="D21" s="21">
        <f>IF('Preencher pelo celular'!F104="","",'Preencher pelo celular'!F104)</f>
        <v/>
      </c>
      <c r="E21" s="21">
        <f>IF('Preencher pelo celular'!C105="","",'Preencher pelo celular'!C105)</f>
        <v/>
      </c>
      <c r="F21" s="21">
        <f>IF('Preencher pelo celular'!D105="","",'Preencher pelo celular'!D105)</f>
        <v/>
      </c>
      <c r="G21" s="21">
        <f>IF('Preencher pelo celular'!F105="","",'Preencher pelo celular'!F105)</f>
        <v/>
      </c>
      <c r="H21" s="21">
        <f>IF('Preencher pelo celular'!C106="","",'Preencher pelo celular'!C106)</f>
        <v/>
      </c>
      <c r="I21" s="21">
        <f>IF('Preencher pelo celular'!D106="","",'Preencher pelo celular'!D106)</f>
        <v/>
      </c>
      <c r="J21" s="21">
        <f>IF('Preencher pelo celular'!F106="","",'Preencher pelo celular'!F106)</f>
        <v/>
      </c>
      <c r="K21" s="21">
        <f>IF('Preencher pelo celular'!C107="","",'Preencher pelo celular'!C107)</f>
        <v/>
      </c>
      <c r="L21" s="21">
        <f>IF('Preencher pelo celular'!D107="","",'Preencher pelo celular'!D107)</f>
        <v/>
      </c>
      <c r="M21" s="21">
        <f>IF('Preencher pelo celular'!F107="","",'Preencher pelo celular'!F107)</f>
        <v/>
      </c>
      <c r="N21" s="21">
        <f>IF('Preencher pelo celular'!C108="","",'Preencher pelo celular'!C108)</f>
        <v/>
      </c>
      <c r="O21" s="21">
        <f>IF('Preencher pelo celular'!D108="","",'Preencher pelo celular'!D108)</f>
        <v/>
      </c>
      <c r="P21" s="21">
        <f>IF('Preencher pelo celular'!F108="","",'Preencher pelo celular'!F108)</f>
        <v/>
      </c>
      <c r="Q21" s="21">
        <f>IF('Preencher pelo celular'!C109="","",'Preencher pelo celular'!C109)</f>
        <v/>
      </c>
      <c r="R21" s="21">
        <f>IF('Preencher pelo celular'!D109="","",'Preencher pelo celular'!D109)</f>
        <v/>
      </c>
      <c r="S21" s="21">
        <f>IF('Preencher pelo celular'!F109="","",'Preencher pelo celular'!F109)</f>
        <v/>
      </c>
      <c r="T21" s="19">
        <f>IF(COUNT(B21,E21,H21,K21,N21,Q21)=0,"",AVERAGE(B21,E21,H21,K21,N21,Q21))</f>
        <v/>
      </c>
      <c r="U21" s="19">
        <f>IF(COUNT(D21,G21,J21,M21,P21,S21)=0,"",AVERAGE(D21,G21,J21,M21,P21,S21))</f>
        <v/>
      </c>
      <c r="V21" s="19">
        <f>IF(COUNT(C21,F21,I21,L21,O21,R21)=0,"",SUM(C21,F21,I21,L21,O21,R21))</f>
        <v/>
      </c>
    </row>
    <row r="22">
      <c r="A22" s="18">
        <f>'Preencher pelo celular'!A110</f>
        <v/>
      </c>
      <c r="B22" s="14">
        <f>IF('Preencher pelo celular'!C110="","",'Preencher pelo celular'!C110)</f>
        <v/>
      </c>
      <c r="C22" s="14">
        <f>IF('Preencher pelo celular'!D110="","",'Preencher pelo celular'!D110)</f>
        <v/>
      </c>
      <c r="D22" s="14">
        <f>IF('Preencher pelo celular'!F110="","",'Preencher pelo celular'!F110)</f>
        <v/>
      </c>
      <c r="E22" s="14">
        <f>IF('Preencher pelo celular'!C111="","",'Preencher pelo celular'!C111)</f>
        <v/>
      </c>
      <c r="F22" s="14">
        <f>IF('Preencher pelo celular'!D111="","",'Preencher pelo celular'!D111)</f>
        <v/>
      </c>
      <c r="G22" s="14">
        <f>IF('Preencher pelo celular'!F111="","",'Preencher pelo celular'!F111)</f>
        <v/>
      </c>
      <c r="H22" s="14">
        <f>IF('Preencher pelo celular'!C112="","",'Preencher pelo celular'!C112)</f>
        <v/>
      </c>
      <c r="I22" s="14">
        <f>IF('Preencher pelo celular'!D112="","",'Preencher pelo celular'!D112)</f>
        <v/>
      </c>
      <c r="J22" s="14">
        <f>IF('Preencher pelo celular'!F112="","",'Preencher pelo celular'!F112)</f>
        <v/>
      </c>
      <c r="K22" s="14">
        <f>IF('Preencher pelo celular'!C113="","",'Preencher pelo celular'!C113)</f>
        <v/>
      </c>
      <c r="L22" s="14">
        <f>IF('Preencher pelo celular'!D113="","",'Preencher pelo celular'!D113)</f>
        <v/>
      </c>
      <c r="M22" s="14">
        <f>IF('Preencher pelo celular'!F113="","",'Preencher pelo celular'!F113)</f>
        <v/>
      </c>
      <c r="N22" s="14">
        <f>IF('Preencher pelo celular'!C114="","",'Preencher pelo celular'!C114)</f>
        <v/>
      </c>
      <c r="O22" s="14">
        <f>IF('Preencher pelo celular'!D114="","",'Preencher pelo celular'!D114)</f>
        <v/>
      </c>
      <c r="P22" s="14">
        <f>IF('Preencher pelo celular'!F114="","",'Preencher pelo celular'!F114)</f>
        <v/>
      </c>
      <c r="Q22" s="14">
        <f>IF('Preencher pelo celular'!C115="","",'Preencher pelo celular'!C115)</f>
        <v/>
      </c>
      <c r="R22" s="14">
        <f>IF('Preencher pelo celular'!D115="","",'Preencher pelo celular'!D115)</f>
        <v/>
      </c>
      <c r="S22" s="14">
        <f>IF('Preencher pelo celular'!F115="","",'Preencher pelo celular'!F115)</f>
        <v/>
      </c>
      <c r="T22" s="19">
        <f>IF(COUNT(B22,E22,H22,K22,N22,Q22)=0,"",AVERAGE(B22,E22,H22,K22,N22,Q22))</f>
        <v/>
      </c>
      <c r="U22" s="19">
        <f>IF(COUNT(D22,G22,J22,M22,P22,S22)=0,"",AVERAGE(D22,G22,J22,M22,P22,S22))</f>
        <v/>
      </c>
      <c r="V22" s="19">
        <f>IF(COUNT(C22,F22,I22,L22,O22,R22)=0,"",SUM(C22,F22,I22,L22,O22,R22))</f>
        <v/>
      </c>
    </row>
    <row r="23">
      <c r="A23" s="20">
        <f>'Preencher pelo celular'!A116</f>
        <v/>
      </c>
      <c r="B23" s="21">
        <f>IF('Preencher pelo celular'!C116="","",'Preencher pelo celular'!C116)</f>
        <v/>
      </c>
      <c r="C23" s="21">
        <f>IF('Preencher pelo celular'!D116="","",'Preencher pelo celular'!D116)</f>
        <v/>
      </c>
      <c r="D23" s="21">
        <f>IF('Preencher pelo celular'!F116="","",'Preencher pelo celular'!F116)</f>
        <v/>
      </c>
      <c r="E23" s="21">
        <f>IF('Preencher pelo celular'!C117="","",'Preencher pelo celular'!C117)</f>
        <v/>
      </c>
      <c r="F23" s="21">
        <f>IF('Preencher pelo celular'!D117="","",'Preencher pelo celular'!D117)</f>
        <v/>
      </c>
      <c r="G23" s="21">
        <f>IF('Preencher pelo celular'!F117="","",'Preencher pelo celular'!F117)</f>
        <v/>
      </c>
      <c r="H23" s="21">
        <f>IF('Preencher pelo celular'!C118="","",'Preencher pelo celular'!C118)</f>
        <v/>
      </c>
      <c r="I23" s="21">
        <f>IF('Preencher pelo celular'!D118="","",'Preencher pelo celular'!D118)</f>
        <v/>
      </c>
      <c r="J23" s="21">
        <f>IF('Preencher pelo celular'!F118="","",'Preencher pelo celular'!F118)</f>
        <v/>
      </c>
      <c r="K23" s="21">
        <f>IF('Preencher pelo celular'!C119="","",'Preencher pelo celular'!C119)</f>
        <v/>
      </c>
      <c r="L23" s="21">
        <f>IF('Preencher pelo celular'!D119="","",'Preencher pelo celular'!D119)</f>
        <v/>
      </c>
      <c r="M23" s="21">
        <f>IF('Preencher pelo celular'!F119="","",'Preencher pelo celular'!F119)</f>
        <v/>
      </c>
      <c r="N23" s="21">
        <f>IF('Preencher pelo celular'!C120="","",'Preencher pelo celular'!C120)</f>
        <v/>
      </c>
      <c r="O23" s="21">
        <f>IF('Preencher pelo celular'!D120="","",'Preencher pelo celular'!D120)</f>
        <v/>
      </c>
      <c r="P23" s="21">
        <f>IF('Preencher pelo celular'!F120="","",'Preencher pelo celular'!F120)</f>
        <v/>
      </c>
      <c r="Q23" s="21">
        <f>IF('Preencher pelo celular'!C121="","",'Preencher pelo celular'!C121)</f>
        <v/>
      </c>
      <c r="R23" s="21">
        <f>IF('Preencher pelo celular'!D121="","",'Preencher pelo celular'!D121)</f>
        <v/>
      </c>
      <c r="S23" s="21">
        <f>IF('Preencher pelo celular'!F121="","",'Preencher pelo celular'!F121)</f>
        <v/>
      </c>
      <c r="T23" s="19">
        <f>IF(COUNT(B23,E23,H23,K23,N23,Q23)=0,"",AVERAGE(B23,E23,H23,K23,N23,Q23))</f>
        <v/>
      </c>
      <c r="U23" s="19">
        <f>IF(COUNT(D23,G23,J23,M23,P23,S23)=0,"",AVERAGE(D23,G23,J23,M23,P23,S23))</f>
        <v/>
      </c>
      <c r="V23" s="19">
        <f>IF(COUNT(C23,F23,I23,L23,O23,R23)=0,"",SUM(C23,F23,I23,L23,O23,R23))</f>
        <v/>
      </c>
    </row>
    <row r="24">
      <c r="A24" s="18">
        <f>'Preencher pelo celular'!A122</f>
        <v/>
      </c>
      <c r="B24" s="14">
        <f>IF('Preencher pelo celular'!C122="","",'Preencher pelo celular'!C122)</f>
        <v/>
      </c>
      <c r="C24" s="14">
        <f>IF('Preencher pelo celular'!D122="","",'Preencher pelo celular'!D122)</f>
        <v/>
      </c>
      <c r="D24" s="14">
        <f>IF('Preencher pelo celular'!F122="","",'Preencher pelo celular'!F122)</f>
        <v/>
      </c>
      <c r="E24" s="14">
        <f>IF('Preencher pelo celular'!C123="","",'Preencher pelo celular'!C123)</f>
        <v/>
      </c>
      <c r="F24" s="14">
        <f>IF('Preencher pelo celular'!D123="","",'Preencher pelo celular'!D123)</f>
        <v/>
      </c>
      <c r="G24" s="14">
        <f>IF('Preencher pelo celular'!F123="","",'Preencher pelo celular'!F123)</f>
        <v/>
      </c>
      <c r="H24" s="14">
        <f>IF('Preencher pelo celular'!C124="","",'Preencher pelo celular'!C124)</f>
        <v/>
      </c>
      <c r="I24" s="14">
        <f>IF('Preencher pelo celular'!D124="","",'Preencher pelo celular'!D124)</f>
        <v/>
      </c>
      <c r="J24" s="14">
        <f>IF('Preencher pelo celular'!F124="","",'Preencher pelo celular'!F124)</f>
        <v/>
      </c>
      <c r="K24" s="14">
        <f>IF('Preencher pelo celular'!C125="","",'Preencher pelo celular'!C125)</f>
        <v/>
      </c>
      <c r="L24" s="14">
        <f>IF('Preencher pelo celular'!D125="","",'Preencher pelo celular'!D125)</f>
        <v/>
      </c>
      <c r="M24" s="14">
        <f>IF('Preencher pelo celular'!F125="","",'Preencher pelo celular'!F125)</f>
        <v/>
      </c>
      <c r="N24" s="14">
        <f>IF('Preencher pelo celular'!C126="","",'Preencher pelo celular'!C126)</f>
        <v/>
      </c>
      <c r="O24" s="14">
        <f>IF('Preencher pelo celular'!D126="","",'Preencher pelo celular'!D126)</f>
        <v/>
      </c>
      <c r="P24" s="14">
        <f>IF('Preencher pelo celular'!F126="","",'Preencher pelo celular'!F126)</f>
        <v/>
      </c>
      <c r="Q24" s="14">
        <f>IF('Preencher pelo celular'!C127="","",'Preencher pelo celular'!C127)</f>
        <v/>
      </c>
      <c r="R24" s="14">
        <f>IF('Preencher pelo celular'!D127="","",'Preencher pelo celular'!D127)</f>
        <v/>
      </c>
      <c r="S24" s="14">
        <f>IF('Preencher pelo celular'!F127="","",'Preencher pelo celular'!F127)</f>
        <v/>
      </c>
      <c r="T24" s="19">
        <f>IF(COUNT(B24,E24,H24,K24,N24,Q24)=0,"",AVERAGE(B24,E24,H24,K24,N24,Q24))</f>
        <v/>
      </c>
      <c r="U24" s="19">
        <f>IF(COUNT(D24,G24,J24,M24,P24,S24)=0,"",AVERAGE(D24,G24,J24,M24,P24,S24))</f>
        <v/>
      </c>
      <c r="V24" s="19">
        <f>IF(COUNT(C24,F24,I24,L24,O24,R24)=0,"",SUM(C24,F24,I24,L24,O24,R24))</f>
        <v/>
      </c>
    </row>
    <row r="25">
      <c r="A25" s="20">
        <f>'Preencher pelo celular'!A128</f>
        <v/>
      </c>
      <c r="B25" s="21">
        <f>IF('Preencher pelo celular'!C128="","",'Preencher pelo celular'!C128)</f>
        <v/>
      </c>
      <c r="C25" s="21">
        <f>IF('Preencher pelo celular'!D128="","",'Preencher pelo celular'!D128)</f>
        <v/>
      </c>
      <c r="D25" s="21">
        <f>IF('Preencher pelo celular'!F128="","",'Preencher pelo celular'!F128)</f>
        <v/>
      </c>
      <c r="E25" s="21">
        <f>IF('Preencher pelo celular'!C129="","",'Preencher pelo celular'!C129)</f>
        <v/>
      </c>
      <c r="F25" s="21">
        <f>IF('Preencher pelo celular'!D129="","",'Preencher pelo celular'!D129)</f>
        <v/>
      </c>
      <c r="G25" s="21">
        <f>IF('Preencher pelo celular'!F129="","",'Preencher pelo celular'!F129)</f>
        <v/>
      </c>
      <c r="H25" s="21">
        <f>IF('Preencher pelo celular'!C130="","",'Preencher pelo celular'!C130)</f>
        <v/>
      </c>
      <c r="I25" s="21">
        <f>IF('Preencher pelo celular'!D130="","",'Preencher pelo celular'!D130)</f>
        <v/>
      </c>
      <c r="J25" s="21">
        <f>IF('Preencher pelo celular'!F130="","",'Preencher pelo celular'!F130)</f>
        <v/>
      </c>
      <c r="K25" s="21">
        <f>IF('Preencher pelo celular'!C131="","",'Preencher pelo celular'!C131)</f>
        <v/>
      </c>
      <c r="L25" s="21">
        <f>IF('Preencher pelo celular'!D131="","",'Preencher pelo celular'!D131)</f>
        <v/>
      </c>
      <c r="M25" s="21">
        <f>IF('Preencher pelo celular'!F131="","",'Preencher pelo celular'!F131)</f>
        <v/>
      </c>
      <c r="N25" s="21">
        <f>IF('Preencher pelo celular'!C132="","",'Preencher pelo celular'!C132)</f>
        <v/>
      </c>
      <c r="O25" s="21">
        <f>IF('Preencher pelo celular'!D132="","",'Preencher pelo celular'!D132)</f>
        <v/>
      </c>
      <c r="P25" s="21">
        <f>IF('Preencher pelo celular'!F132="","",'Preencher pelo celular'!F132)</f>
        <v/>
      </c>
      <c r="Q25" s="21">
        <f>IF('Preencher pelo celular'!C133="","",'Preencher pelo celular'!C133)</f>
        <v/>
      </c>
      <c r="R25" s="21">
        <f>IF('Preencher pelo celular'!D133="","",'Preencher pelo celular'!D133)</f>
        <v/>
      </c>
      <c r="S25" s="21">
        <f>IF('Preencher pelo celular'!F133="","",'Preencher pelo celular'!F133)</f>
        <v/>
      </c>
      <c r="T25" s="19">
        <f>IF(COUNT(B25,E25,H25,K25,N25,Q25)=0,"",AVERAGE(B25,E25,H25,K25,N25,Q25))</f>
        <v/>
      </c>
      <c r="U25" s="19">
        <f>IF(COUNT(D25,G25,J25,M25,P25,S25)=0,"",AVERAGE(D25,G25,J25,M25,P25,S25))</f>
        <v/>
      </c>
      <c r="V25" s="19">
        <f>IF(COUNT(C25,F25,I25,L25,O25,R25)=0,"",SUM(C25,F25,I25,L25,O25,R25))</f>
        <v/>
      </c>
    </row>
    <row r="26">
      <c r="A26" s="18">
        <f>'Preencher pelo celular'!A134</f>
        <v/>
      </c>
      <c r="B26" s="14">
        <f>IF('Preencher pelo celular'!C134="","",'Preencher pelo celular'!C134)</f>
        <v/>
      </c>
      <c r="C26" s="14">
        <f>IF('Preencher pelo celular'!D134="","",'Preencher pelo celular'!D134)</f>
        <v/>
      </c>
      <c r="D26" s="14">
        <f>IF('Preencher pelo celular'!F134="","",'Preencher pelo celular'!F134)</f>
        <v/>
      </c>
      <c r="E26" s="14">
        <f>IF('Preencher pelo celular'!C135="","",'Preencher pelo celular'!C135)</f>
        <v/>
      </c>
      <c r="F26" s="14">
        <f>IF('Preencher pelo celular'!D135="","",'Preencher pelo celular'!D135)</f>
        <v/>
      </c>
      <c r="G26" s="14">
        <f>IF('Preencher pelo celular'!F135="","",'Preencher pelo celular'!F135)</f>
        <v/>
      </c>
      <c r="H26" s="14">
        <f>IF('Preencher pelo celular'!C136="","",'Preencher pelo celular'!C136)</f>
        <v/>
      </c>
      <c r="I26" s="14">
        <f>IF('Preencher pelo celular'!D136="","",'Preencher pelo celular'!D136)</f>
        <v/>
      </c>
      <c r="J26" s="14">
        <f>IF('Preencher pelo celular'!F136="","",'Preencher pelo celular'!F136)</f>
        <v/>
      </c>
      <c r="K26" s="14">
        <f>IF('Preencher pelo celular'!C137="","",'Preencher pelo celular'!C137)</f>
        <v/>
      </c>
      <c r="L26" s="14">
        <f>IF('Preencher pelo celular'!D137="","",'Preencher pelo celular'!D137)</f>
        <v/>
      </c>
      <c r="M26" s="14">
        <f>IF('Preencher pelo celular'!F137="","",'Preencher pelo celular'!F137)</f>
        <v/>
      </c>
      <c r="N26" s="14">
        <f>IF('Preencher pelo celular'!C138="","",'Preencher pelo celular'!C138)</f>
        <v/>
      </c>
      <c r="O26" s="14">
        <f>IF('Preencher pelo celular'!D138="","",'Preencher pelo celular'!D138)</f>
        <v/>
      </c>
      <c r="P26" s="14">
        <f>IF('Preencher pelo celular'!F138="","",'Preencher pelo celular'!F138)</f>
        <v/>
      </c>
      <c r="Q26" s="14">
        <f>IF('Preencher pelo celular'!C139="","",'Preencher pelo celular'!C139)</f>
        <v/>
      </c>
      <c r="R26" s="14">
        <f>IF('Preencher pelo celular'!D139="","",'Preencher pelo celular'!D139)</f>
        <v/>
      </c>
      <c r="S26" s="14">
        <f>IF('Preencher pelo celular'!F139="","",'Preencher pelo celular'!F139)</f>
        <v/>
      </c>
      <c r="T26" s="19">
        <f>IF(COUNT(B26,E26,H26,K26,N26,Q26)=0,"",AVERAGE(B26,E26,H26,K26,N26,Q26))</f>
        <v/>
      </c>
      <c r="U26" s="19">
        <f>IF(COUNT(D26,G26,J26,M26,P26,S26)=0,"",AVERAGE(D26,G26,J26,M26,P26,S26))</f>
        <v/>
      </c>
      <c r="V26" s="19">
        <f>IF(COUNT(C26,F26,I26,L26,O26,R26)=0,"",SUM(C26,F26,I26,L26,O26,R26))</f>
        <v/>
      </c>
    </row>
    <row r="27">
      <c r="A27" s="20">
        <f>'Preencher pelo celular'!A140</f>
        <v/>
      </c>
      <c r="B27" s="21">
        <f>IF('Preencher pelo celular'!C140="","",'Preencher pelo celular'!C140)</f>
        <v/>
      </c>
      <c r="C27" s="21">
        <f>IF('Preencher pelo celular'!D140="","",'Preencher pelo celular'!D140)</f>
        <v/>
      </c>
      <c r="D27" s="21">
        <f>IF('Preencher pelo celular'!F140="","",'Preencher pelo celular'!F140)</f>
        <v/>
      </c>
      <c r="E27" s="21">
        <f>IF('Preencher pelo celular'!C141="","",'Preencher pelo celular'!C141)</f>
        <v/>
      </c>
      <c r="F27" s="21">
        <f>IF('Preencher pelo celular'!D141="","",'Preencher pelo celular'!D141)</f>
        <v/>
      </c>
      <c r="G27" s="21">
        <f>IF('Preencher pelo celular'!F141="","",'Preencher pelo celular'!F141)</f>
        <v/>
      </c>
      <c r="H27" s="21">
        <f>IF('Preencher pelo celular'!C142="","",'Preencher pelo celular'!C142)</f>
        <v/>
      </c>
      <c r="I27" s="21">
        <f>IF('Preencher pelo celular'!D142="","",'Preencher pelo celular'!D142)</f>
        <v/>
      </c>
      <c r="J27" s="21">
        <f>IF('Preencher pelo celular'!F142="","",'Preencher pelo celular'!F142)</f>
        <v/>
      </c>
      <c r="K27" s="21">
        <f>IF('Preencher pelo celular'!C143="","",'Preencher pelo celular'!C143)</f>
        <v/>
      </c>
      <c r="L27" s="21">
        <f>IF('Preencher pelo celular'!D143="","",'Preencher pelo celular'!D143)</f>
        <v/>
      </c>
      <c r="M27" s="21">
        <f>IF('Preencher pelo celular'!F143="","",'Preencher pelo celular'!F143)</f>
        <v/>
      </c>
      <c r="N27" s="21">
        <f>IF('Preencher pelo celular'!C144="","",'Preencher pelo celular'!C144)</f>
        <v/>
      </c>
      <c r="O27" s="21">
        <f>IF('Preencher pelo celular'!D144="","",'Preencher pelo celular'!D144)</f>
        <v/>
      </c>
      <c r="P27" s="21">
        <f>IF('Preencher pelo celular'!F144="","",'Preencher pelo celular'!F144)</f>
        <v/>
      </c>
      <c r="Q27" s="21">
        <f>IF('Preencher pelo celular'!C145="","",'Preencher pelo celular'!C145)</f>
        <v/>
      </c>
      <c r="R27" s="21">
        <f>IF('Preencher pelo celular'!D145="","",'Preencher pelo celular'!D145)</f>
        <v/>
      </c>
      <c r="S27" s="21">
        <f>IF('Preencher pelo celular'!F145="","",'Preencher pelo celular'!F145)</f>
        <v/>
      </c>
      <c r="T27" s="19">
        <f>IF(COUNT(B27,E27,H27,K27,N27,Q27)=0,"",AVERAGE(B27,E27,H27,K27,N27,Q27))</f>
        <v/>
      </c>
      <c r="U27" s="19">
        <f>IF(COUNT(D27,G27,J27,M27,P27,S27)=0,"",AVERAGE(D27,G27,J27,M27,P27,S27))</f>
        <v/>
      </c>
      <c r="V27" s="19">
        <f>IF(COUNT(C27,F27,I27,L27,O27,R27)=0,"",SUM(C27,F27,I27,L27,O27,R27))</f>
        <v/>
      </c>
    </row>
    <row r="28">
      <c r="A28" s="18">
        <f>'Preencher pelo celular'!A146</f>
        <v/>
      </c>
      <c r="B28" s="14">
        <f>IF('Preencher pelo celular'!C146="","",'Preencher pelo celular'!C146)</f>
        <v/>
      </c>
      <c r="C28" s="14">
        <f>IF('Preencher pelo celular'!D146="","",'Preencher pelo celular'!D146)</f>
        <v/>
      </c>
      <c r="D28" s="14">
        <f>IF('Preencher pelo celular'!F146="","",'Preencher pelo celular'!F146)</f>
        <v/>
      </c>
      <c r="E28" s="14">
        <f>IF('Preencher pelo celular'!C147="","",'Preencher pelo celular'!C147)</f>
        <v/>
      </c>
      <c r="F28" s="14">
        <f>IF('Preencher pelo celular'!D147="","",'Preencher pelo celular'!D147)</f>
        <v/>
      </c>
      <c r="G28" s="14">
        <f>IF('Preencher pelo celular'!F147="","",'Preencher pelo celular'!F147)</f>
        <v/>
      </c>
      <c r="H28" s="14">
        <f>IF('Preencher pelo celular'!C148="","",'Preencher pelo celular'!C148)</f>
        <v/>
      </c>
      <c r="I28" s="14">
        <f>IF('Preencher pelo celular'!D148="","",'Preencher pelo celular'!D148)</f>
        <v/>
      </c>
      <c r="J28" s="14">
        <f>IF('Preencher pelo celular'!F148="","",'Preencher pelo celular'!F148)</f>
        <v/>
      </c>
      <c r="K28" s="14">
        <f>IF('Preencher pelo celular'!C149="","",'Preencher pelo celular'!C149)</f>
        <v/>
      </c>
      <c r="L28" s="14">
        <f>IF('Preencher pelo celular'!D149="","",'Preencher pelo celular'!D149)</f>
        <v/>
      </c>
      <c r="M28" s="14">
        <f>IF('Preencher pelo celular'!F149="","",'Preencher pelo celular'!F149)</f>
        <v/>
      </c>
      <c r="N28" s="14">
        <f>IF('Preencher pelo celular'!C150="","",'Preencher pelo celular'!C150)</f>
        <v/>
      </c>
      <c r="O28" s="14">
        <f>IF('Preencher pelo celular'!D150="","",'Preencher pelo celular'!D150)</f>
        <v/>
      </c>
      <c r="P28" s="14">
        <f>IF('Preencher pelo celular'!F150="","",'Preencher pelo celular'!F150)</f>
        <v/>
      </c>
      <c r="Q28" s="14">
        <f>IF('Preencher pelo celular'!C151="","",'Preencher pelo celular'!C151)</f>
        <v/>
      </c>
      <c r="R28" s="14">
        <f>IF('Preencher pelo celular'!D151="","",'Preencher pelo celular'!D151)</f>
        <v/>
      </c>
      <c r="S28" s="14">
        <f>IF('Preencher pelo celular'!F151="","",'Preencher pelo celular'!F151)</f>
        <v/>
      </c>
      <c r="T28" s="19">
        <f>IF(COUNT(B28,E28,H28,K28,N28,Q28)=0,"",AVERAGE(B28,E28,H28,K28,N28,Q28))</f>
        <v/>
      </c>
      <c r="U28" s="19">
        <f>IF(COUNT(D28,G28,J28,M28,P28,S28)=0,"",AVERAGE(D28,G28,J28,M28,P28,S28))</f>
        <v/>
      </c>
      <c r="V28" s="19">
        <f>IF(COUNT(C28,F28,I28,L28,O28,R28)=0,"",SUM(C28,F28,I28,L28,O28,R28))</f>
        <v/>
      </c>
    </row>
    <row r="29">
      <c r="A29" s="20">
        <f>'Preencher pelo celular'!A152</f>
        <v/>
      </c>
      <c r="B29" s="21">
        <f>IF('Preencher pelo celular'!C152="","",'Preencher pelo celular'!C152)</f>
        <v/>
      </c>
      <c r="C29" s="21">
        <f>IF('Preencher pelo celular'!D152="","",'Preencher pelo celular'!D152)</f>
        <v/>
      </c>
      <c r="D29" s="21">
        <f>IF('Preencher pelo celular'!F152="","",'Preencher pelo celular'!F152)</f>
        <v/>
      </c>
      <c r="E29" s="21">
        <f>IF('Preencher pelo celular'!C153="","",'Preencher pelo celular'!C153)</f>
        <v/>
      </c>
      <c r="F29" s="21">
        <f>IF('Preencher pelo celular'!D153="","",'Preencher pelo celular'!D153)</f>
        <v/>
      </c>
      <c r="G29" s="21">
        <f>IF('Preencher pelo celular'!F153="","",'Preencher pelo celular'!F153)</f>
        <v/>
      </c>
      <c r="H29" s="21">
        <f>IF('Preencher pelo celular'!C154="","",'Preencher pelo celular'!C154)</f>
        <v/>
      </c>
      <c r="I29" s="21">
        <f>IF('Preencher pelo celular'!D154="","",'Preencher pelo celular'!D154)</f>
        <v/>
      </c>
      <c r="J29" s="21">
        <f>IF('Preencher pelo celular'!F154="","",'Preencher pelo celular'!F154)</f>
        <v/>
      </c>
      <c r="K29" s="21">
        <f>IF('Preencher pelo celular'!C155="","",'Preencher pelo celular'!C155)</f>
        <v/>
      </c>
      <c r="L29" s="21">
        <f>IF('Preencher pelo celular'!D155="","",'Preencher pelo celular'!D155)</f>
        <v/>
      </c>
      <c r="M29" s="21">
        <f>IF('Preencher pelo celular'!F155="","",'Preencher pelo celular'!F155)</f>
        <v/>
      </c>
      <c r="N29" s="21">
        <f>IF('Preencher pelo celular'!C156="","",'Preencher pelo celular'!C156)</f>
        <v/>
      </c>
      <c r="O29" s="21">
        <f>IF('Preencher pelo celular'!D156="","",'Preencher pelo celular'!D156)</f>
        <v/>
      </c>
      <c r="P29" s="21">
        <f>IF('Preencher pelo celular'!F156="","",'Preencher pelo celular'!F156)</f>
        <v/>
      </c>
      <c r="Q29" s="21">
        <f>IF('Preencher pelo celular'!C157="","",'Preencher pelo celular'!C157)</f>
        <v/>
      </c>
      <c r="R29" s="21">
        <f>IF('Preencher pelo celular'!D157="","",'Preencher pelo celular'!D157)</f>
        <v/>
      </c>
      <c r="S29" s="21">
        <f>IF('Preencher pelo celular'!F157="","",'Preencher pelo celular'!F157)</f>
        <v/>
      </c>
      <c r="T29" s="19">
        <f>IF(COUNT(B29,E29,H29,K29,N29,Q29)=0,"",AVERAGE(B29,E29,H29,K29,N29,Q29))</f>
        <v/>
      </c>
      <c r="U29" s="19">
        <f>IF(COUNT(D29,G29,J29,M29,P29,S29)=0,"",AVERAGE(D29,G29,J29,M29,P29,S29))</f>
        <v/>
      </c>
      <c r="V29" s="19">
        <f>IF(COUNT(C29,F29,I29,L29,O29,R29)=0,"",SUM(C29,F29,I29,L29,O29,R29))</f>
        <v/>
      </c>
    </row>
    <row r="30">
      <c r="A30" s="18">
        <f>'Preencher pelo celular'!A158</f>
        <v/>
      </c>
      <c r="B30" s="14">
        <f>IF('Preencher pelo celular'!C158="","",'Preencher pelo celular'!C158)</f>
        <v/>
      </c>
      <c r="C30" s="14">
        <f>IF('Preencher pelo celular'!D158="","",'Preencher pelo celular'!D158)</f>
        <v/>
      </c>
      <c r="D30" s="14">
        <f>IF('Preencher pelo celular'!F158="","",'Preencher pelo celular'!F158)</f>
        <v/>
      </c>
      <c r="E30" s="14">
        <f>IF('Preencher pelo celular'!C159="","",'Preencher pelo celular'!C159)</f>
        <v/>
      </c>
      <c r="F30" s="14">
        <f>IF('Preencher pelo celular'!D159="","",'Preencher pelo celular'!D159)</f>
        <v/>
      </c>
      <c r="G30" s="14">
        <f>IF('Preencher pelo celular'!F159="","",'Preencher pelo celular'!F159)</f>
        <v/>
      </c>
      <c r="H30" s="14">
        <f>IF('Preencher pelo celular'!C160="","",'Preencher pelo celular'!C160)</f>
        <v/>
      </c>
      <c r="I30" s="14">
        <f>IF('Preencher pelo celular'!D160="","",'Preencher pelo celular'!D160)</f>
        <v/>
      </c>
      <c r="J30" s="14">
        <f>IF('Preencher pelo celular'!F160="","",'Preencher pelo celular'!F160)</f>
        <v/>
      </c>
      <c r="K30" s="14">
        <f>IF('Preencher pelo celular'!C161="","",'Preencher pelo celular'!C161)</f>
        <v/>
      </c>
      <c r="L30" s="14">
        <f>IF('Preencher pelo celular'!D161="","",'Preencher pelo celular'!D161)</f>
        <v/>
      </c>
      <c r="M30" s="14">
        <f>IF('Preencher pelo celular'!F161="","",'Preencher pelo celular'!F161)</f>
        <v/>
      </c>
      <c r="N30" s="14">
        <f>IF('Preencher pelo celular'!C162="","",'Preencher pelo celular'!C162)</f>
        <v/>
      </c>
      <c r="O30" s="14">
        <f>IF('Preencher pelo celular'!D162="","",'Preencher pelo celular'!D162)</f>
        <v/>
      </c>
      <c r="P30" s="14">
        <f>IF('Preencher pelo celular'!F162="","",'Preencher pelo celular'!F162)</f>
        <v/>
      </c>
      <c r="Q30" s="14">
        <f>IF('Preencher pelo celular'!C163="","",'Preencher pelo celular'!C163)</f>
        <v/>
      </c>
      <c r="R30" s="14">
        <f>IF('Preencher pelo celular'!D163="","",'Preencher pelo celular'!D163)</f>
        <v/>
      </c>
      <c r="S30" s="14">
        <f>IF('Preencher pelo celular'!F163="","",'Preencher pelo celular'!F163)</f>
        <v/>
      </c>
      <c r="T30" s="19">
        <f>IF(COUNT(B30,E30,H30,K30,N30,Q30)=0,"",AVERAGE(B30,E30,H30,K30,N30,Q30))</f>
        <v/>
      </c>
      <c r="U30" s="19">
        <f>IF(COUNT(D30,G30,J30,M30,P30,S30)=0,"",AVERAGE(D30,G30,J30,M30,P30,S30))</f>
        <v/>
      </c>
      <c r="V30" s="19">
        <f>IF(COUNT(C30,F30,I30,L30,O30,R30)=0,"",SUM(C30,F30,I30,L30,O30,R30))</f>
        <v/>
      </c>
    </row>
    <row r="31">
      <c r="A31" s="20">
        <f>'Preencher pelo celular'!A164</f>
        <v/>
      </c>
      <c r="B31" s="21">
        <f>IF('Preencher pelo celular'!C164="","",'Preencher pelo celular'!C164)</f>
        <v/>
      </c>
      <c r="C31" s="21">
        <f>IF('Preencher pelo celular'!D164="","",'Preencher pelo celular'!D164)</f>
        <v/>
      </c>
      <c r="D31" s="21">
        <f>IF('Preencher pelo celular'!F164="","",'Preencher pelo celular'!F164)</f>
        <v/>
      </c>
      <c r="E31" s="21">
        <f>IF('Preencher pelo celular'!C165="","",'Preencher pelo celular'!C165)</f>
        <v/>
      </c>
      <c r="F31" s="21">
        <f>IF('Preencher pelo celular'!D165="","",'Preencher pelo celular'!D165)</f>
        <v/>
      </c>
      <c r="G31" s="21">
        <f>IF('Preencher pelo celular'!F165="","",'Preencher pelo celular'!F165)</f>
        <v/>
      </c>
      <c r="H31" s="21">
        <f>IF('Preencher pelo celular'!C166="","",'Preencher pelo celular'!C166)</f>
        <v/>
      </c>
      <c r="I31" s="21">
        <f>IF('Preencher pelo celular'!D166="","",'Preencher pelo celular'!D166)</f>
        <v/>
      </c>
      <c r="J31" s="21">
        <f>IF('Preencher pelo celular'!F166="","",'Preencher pelo celular'!F166)</f>
        <v/>
      </c>
      <c r="K31" s="21">
        <f>IF('Preencher pelo celular'!C167="","",'Preencher pelo celular'!C167)</f>
        <v/>
      </c>
      <c r="L31" s="21">
        <f>IF('Preencher pelo celular'!D167="","",'Preencher pelo celular'!D167)</f>
        <v/>
      </c>
      <c r="M31" s="21">
        <f>IF('Preencher pelo celular'!F167="","",'Preencher pelo celular'!F167)</f>
        <v/>
      </c>
      <c r="N31" s="21">
        <f>IF('Preencher pelo celular'!C168="","",'Preencher pelo celular'!C168)</f>
        <v/>
      </c>
      <c r="O31" s="21">
        <f>IF('Preencher pelo celular'!D168="","",'Preencher pelo celular'!D168)</f>
        <v/>
      </c>
      <c r="P31" s="21">
        <f>IF('Preencher pelo celular'!F168="","",'Preencher pelo celular'!F168)</f>
        <v/>
      </c>
      <c r="Q31" s="21">
        <f>IF('Preencher pelo celular'!C169="","",'Preencher pelo celular'!C169)</f>
        <v/>
      </c>
      <c r="R31" s="21">
        <f>IF('Preencher pelo celular'!D169="","",'Preencher pelo celular'!D169)</f>
        <v/>
      </c>
      <c r="S31" s="21">
        <f>IF('Preencher pelo celular'!F169="","",'Preencher pelo celular'!F169)</f>
        <v/>
      </c>
      <c r="T31" s="19">
        <f>IF(COUNT(B31,E31,H31,K31,N31,Q31)=0,"",AVERAGE(B31,E31,H31,K31,N31,Q31))</f>
        <v/>
      </c>
      <c r="U31" s="19">
        <f>IF(COUNT(D31,G31,J31,M31,P31,S31)=0,"",AVERAGE(D31,G31,J31,M31,P31,S31))</f>
        <v/>
      </c>
      <c r="V31" s="19">
        <f>IF(COUNT(C31,F31,I31,L31,O31,R31)=0,"",SUM(C31,F31,I31,L31,O31,R31))</f>
        <v/>
      </c>
    </row>
    <row r="32">
      <c r="A32" s="18">
        <f>'Preencher pelo celular'!A170</f>
        <v/>
      </c>
      <c r="B32" s="14">
        <f>IF('Preencher pelo celular'!C170="","",'Preencher pelo celular'!C170)</f>
        <v/>
      </c>
      <c r="C32" s="14">
        <f>IF('Preencher pelo celular'!D170="","",'Preencher pelo celular'!D170)</f>
        <v/>
      </c>
      <c r="D32" s="14">
        <f>IF('Preencher pelo celular'!F170="","",'Preencher pelo celular'!F170)</f>
        <v/>
      </c>
      <c r="E32" s="14">
        <f>IF('Preencher pelo celular'!C171="","",'Preencher pelo celular'!C171)</f>
        <v/>
      </c>
      <c r="F32" s="14">
        <f>IF('Preencher pelo celular'!D171="","",'Preencher pelo celular'!D171)</f>
        <v/>
      </c>
      <c r="G32" s="14">
        <f>IF('Preencher pelo celular'!F171="","",'Preencher pelo celular'!F171)</f>
        <v/>
      </c>
      <c r="H32" s="14">
        <f>IF('Preencher pelo celular'!C172="","",'Preencher pelo celular'!C172)</f>
        <v/>
      </c>
      <c r="I32" s="14">
        <f>IF('Preencher pelo celular'!D172="","",'Preencher pelo celular'!D172)</f>
        <v/>
      </c>
      <c r="J32" s="14">
        <f>IF('Preencher pelo celular'!F172="","",'Preencher pelo celular'!F172)</f>
        <v/>
      </c>
      <c r="K32" s="14">
        <f>IF('Preencher pelo celular'!C173="","",'Preencher pelo celular'!C173)</f>
        <v/>
      </c>
      <c r="L32" s="14">
        <f>IF('Preencher pelo celular'!D173="","",'Preencher pelo celular'!D173)</f>
        <v/>
      </c>
      <c r="M32" s="14">
        <f>IF('Preencher pelo celular'!F173="","",'Preencher pelo celular'!F173)</f>
        <v/>
      </c>
      <c r="N32" s="14">
        <f>IF('Preencher pelo celular'!C174="","",'Preencher pelo celular'!C174)</f>
        <v/>
      </c>
      <c r="O32" s="14">
        <f>IF('Preencher pelo celular'!D174="","",'Preencher pelo celular'!D174)</f>
        <v/>
      </c>
      <c r="P32" s="14">
        <f>IF('Preencher pelo celular'!F174="","",'Preencher pelo celular'!F174)</f>
        <v/>
      </c>
      <c r="Q32" s="14">
        <f>IF('Preencher pelo celular'!C175="","",'Preencher pelo celular'!C175)</f>
        <v/>
      </c>
      <c r="R32" s="14">
        <f>IF('Preencher pelo celular'!D175="","",'Preencher pelo celular'!D175)</f>
        <v/>
      </c>
      <c r="S32" s="14">
        <f>IF('Preencher pelo celular'!F175="","",'Preencher pelo celular'!F175)</f>
        <v/>
      </c>
      <c r="T32" s="19">
        <f>IF(COUNT(B32,E32,H32,K32,N32,Q32)=0,"",AVERAGE(B32,E32,H32,K32,N32,Q32))</f>
        <v/>
      </c>
      <c r="U32" s="19">
        <f>IF(COUNT(D32,G32,J32,M32,P32,S32)=0,"",AVERAGE(D32,G32,J32,M32,P32,S32))</f>
        <v/>
      </c>
      <c r="V32" s="19">
        <f>IF(COUNT(C32,F32,I32,L32,O32,R32)=0,"",SUM(C32,F32,I32,L32,O32,R32))</f>
        <v/>
      </c>
    </row>
    <row r="33">
      <c r="A33" s="20">
        <f>'Preencher pelo celular'!A176</f>
        <v/>
      </c>
      <c r="B33" s="21">
        <f>IF('Preencher pelo celular'!C176="","",'Preencher pelo celular'!C176)</f>
        <v/>
      </c>
      <c r="C33" s="21">
        <f>IF('Preencher pelo celular'!D176="","",'Preencher pelo celular'!D176)</f>
        <v/>
      </c>
      <c r="D33" s="21">
        <f>IF('Preencher pelo celular'!F176="","",'Preencher pelo celular'!F176)</f>
        <v/>
      </c>
      <c r="E33" s="21">
        <f>IF('Preencher pelo celular'!C177="","",'Preencher pelo celular'!C177)</f>
        <v/>
      </c>
      <c r="F33" s="21">
        <f>IF('Preencher pelo celular'!D177="","",'Preencher pelo celular'!D177)</f>
        <v/>
      </c>
      <c r="G33" s="21">
        <f>IF('Preencher pelo celular'!F177="","",'Preencher pelo celular'!F177)</f>
        <v/>
      </c>
      <c r="H33" s="21">
        <f>IF('Preencher pelo celular'!C178="","",'Preencher pelo celular'!C178)</f>
        <v/>
      </c>
      <c r="I33" s="21">
        <f>IF('Preencher pelo celular'!D178="","",'Preencher pelo celular'!D178)</f>
        <v/>
      </c>
      <c r="J33" s="21">
        <f>IF('Preencher pelo celular'!F178="","",'Preencher pelo celular'!F178)</f>
        <v/>
      </c>
      <c r="K33" s="21">
        <f>IF('Preencher pelo celular'!C179="","",'Preencher pelo celular'!C179)</f>
        <v/>
      </c>
      <c r="L33" s="21">
        <f>IF('Preencher pelo celular'!D179="","",'Preencher pelo celular'!D179)</f>
        <v/>
      </c>
      <c r="M33" s="21">
        <f>IF('Preencher pelo celular'!F179="","",'Preencher pelo celular'!F179)</f>
        <v/>
      </c>
      <c r="N33" s="21">
        <f>IF('Preencher pelo celular'!C180="","",'Preencher pelo celular'!C180)</f>
        <v/>
      </c>
      <c r="O33" s="21">
        <f>IF('Preencher pelo celular'!D180="","",'Preencher pelo celular'!D180)</f>
        <v/>
      </c>
      <c r="P33" s="21">
        <f>IF('Preencher pelo celular'!F180="","",'Preencher pelo celular'!F180)</f>
        <v/>
      </c>
      <c r="Q33" s="21">
        <f>IF('Preencher pelo celular'!C181="","",'Preencher pelo celular'!C181)</f>
        <v/>
      </c>
      <c r="R33" s="21">
        <f>IF('Preencher pelo celular'!D181="","",'Preencher pelo celular'!D181)</f>
        <v/>
      </c>
      <c r="S33" s="21">
        <f>IF('Preencher pelo celular'!F181="","",'Preencher pelo celular'!F181)</f>
        <v/>
      </c>
      <c r="T33" s="19">
        <f>IF(COUNT(B33,E33,H33,K33,N33,Q33)=0,"",AVERAGE(B33,E33,H33,K33,N33,Q33))</f>
        <v/>
      </c>
      <c r="U33" s="19">
        <f>IF(COUNT(D33,G33,J33,M33,P33,S33)=0,"",AVERAGE(D33,G33,J33,M33,P33,S33))</f>
        <v/>
      </c>
      <c r="V33" s="19">
        <f>IF(COUNT(C33,F33,I33,L33,O33,R33)=0,"",SUM(C33,F33,I33,L33,O33,R33))</f>
        <v/>
      </c>
    </row>
    <row r="34">
      <c r="A34" s="18">
        <f>'Preencher pelo celular'!A182</f>
        <v/>
      </c>
      <c r="B34" s="14">
        <f>IF('Preencher pelo celular'!C182="","",'Preencher pelo celular'!C182)</f>
        <v/>
      </c>
      <c r="C34" s="14">
        <f>IF('Preencher pelo celular'!D182="","",'Preencher pelo celular'!D182)</f>
        <v/>
      </c>
      <c r="D34" s="14">
        <f>IF('Preencher pelo celular'!F182="","",'Preencher pelo celular'!F182)</f>
        <v/>
      </c>
      <c r="E34" s="14">
        <f>IF('Preencher pelo celular'!C183="","",'Preencher pelo celular'!C183)</f>
        <v/>
      </c>
      <c r="F34" s="14">
        <f>IF('Preencher pelo celular'!D183="","",'Preencher pelo celular'!D183)</f>
        <v/>
      </c>
      <c r="G34" s="14">
        <f>IF('Preencher pelo celular'!F183="","",'Preencher pelo celular'!F183)</f>
        <v/>
      </c>
      <c r="H34" s="14">
        <f>IF('Preencher pelo celular'!C184="","",'Preencher pelo celular'!C184)</f>
        <v/>
      </c>
      <c r="I34" s="14">
        <f>IF('Preencher pelo celular'!D184="","",'Preencher pelo celular'!D184)</f>
        <v/>
      </c>
      <c r="J34" s="14">
        <f>IF('Preencher pelo celular'!F184="","",'Preencher pelo celular'!F184)</f>
        <v/>
      </c>
      <c r="K34" s="14">
        <f>IF('Preencher pelo celular'!C185="","",'Preencher pelo celular'!C185)</f>
        <v/>
      </c>
      <c r="L34" s="14">
        <f>IF('Preencher pelo celular'!D185="","",'Preencher pelo celular'!D185)</f>
        <v/>
      </c>
      <c r="M34" s="14">
        <f>IF('Preencher pelo celular'!F185="","",'Preencher pelo celular'!F185)</f>
        <v/>
      </c>
      <c r="N34" s="14">
        <f>IF('Preencher pelo celular'!C186="","",'Preencher pelo celular'!C186)</f>
        <v/>
      </c>
      <c r="O34" s="14">
        <f>IF('Preencher pelo celular'!D186="","",'Preencher pelo celular'!D186)</f>
        <v/>
      </c>
      <c r="P34" s="14">
        <f>IF('Preencher pelo celular'!F186="","",'Preencher pelo celular'!F186)</f>
        <v/>
      </c>
      <c r="Q34" s="14">
        <f>IF('Preencher pelo celular'!C187="","",'Preencher pelo celular'!C187)</f>
        <v/>
      </c>
      <c r="R34" s="14">
        <f>IF('Preencher pelo celular'!D187="","",'Preencher pelo celular'!D187)</f>
        <v/>
      </c>
      <c r="S34" s="14">
        <f>IF('Preencher pelo celular'!F187="","",'Preencher pelo celular'!F187)</f>
        <v/>
      </c>
      <c r="T34" s="19">
        <f>IF(COUNT(B34,E34,H34,K34,N34,Q34)=0,"",AVERAGE(B34,E34,H34,K34,N34,Q34))</f>
        <v/>
      </c>
      <c r="U34" s="19">
        <f>IF(COUNT(D34,G34,J34,M34,P34,S34)=0,"",AVERAGE(D34,G34,J34,M34,P34,S34))</f>
        <v/>
      </c>
      <c r="V34" s="19">
        <f>IF(COUNT(C34,F34,I34,L34,O34,R34)=0,"",SUM(C34,F34,I34,L34,O34,R34))</f>
        <v/>
      </c>
    </row>
    <row r="35">
      <c r="A35" s="20">
        <f>'Preencher pelo celular'!A188</f>
        <v/>
      </c>
      <c r="B35" s="21">
        <f>IF('Preencher pelo celular'!C188="","",'Preencher pelo celular'!C188)</f>
        <v/>
      </c>
      <c r="C35" s="21">
        <f>IF('Preencher pelo celular'!D188="","",'Preencher pelo celular'!D188)</f>
        <v/>
      </c>
      <c r="D35" s="21">
        <f>IF('Preencher pelo celular'!F188="","",'Preencher pelo celular'!F188)</f>
        <v/>
      </c>
      <c r="E35" s="21">
        <f>IF('Preencher pelo celular'!C189="","",'Preencher pelo celular'!C189)</f>
        <v/>
      </c>
      <c r="F35" s="21">
        <f>IF('Preencher pelo celular'!D189="","",'Preencher pelo celular'!D189)</f>
        <v/>
      </c>
      <c r="G35" s="21">
        <f>IF('Preencher pelo celular'!F189="","",'Preencher pelo celular'!F189)</f>
        <v/>
      </c>
      <c r="H35" s="21">
        <f>IF('Preencher pelo celular'!C190="","",'Preencher pelo celular'!C190)</f>
        <v/>
      </c>
      <c r="I35" s="21">
        <f>IF('Preencher pelo celular'!D190="","",'Preencher pelo celular'!D190)</f>
        <v/>
      </c>
      <c r="J35" s="21">
        <f>IF('Preencher pelo celular'!F190="","",'Preencher pelo celular'!F190)</f>
        <v/>
      </c>
      <c r="K35" s="21">
        <f>IF('Preencher pelo celular'!C191="","",'Preencher pelo celular'!C191)</f>
        <v/>
      </c>
      <c r="L35" s="21">
        <f>IF('Preencher pelo celular'!D191="","",'Preencher pelo celular'!D191)</f>
        <v/>
      </c>
      <c r="M35" s="21">
        <f>IF('Preencher pelo celular'!F191="","",'Preencher pelo celular'!F191)</f>
        <v/>
      </c>
      <c r="N35" s="21">
        <f>IF('Preencher pelo celular'!C192="","",'Preencher pelo celular'!C192)</f>
        <v/>
      </c>
      <c r="O35" s="21">
        <f>IF('Preencher pelo celular'!D192="","",'Preencher pelo celular'!D192)</f>
        <v/>
      </c>
      <c r="P35" s="21">
        <f>IF('Preencher pelo celular'!F192="","",'Preencher pelo celular'!F192)</f>
        <v/>
      </c>
      <c r="Q35" s="21">
        <f>IF('Preencher pelo celular'!C193="","",'Preencher pelo celular'!C193)</f>
        <v/>
      </c>
      <c r="R35" s="21">
        <f>IF('Preencher pelo celular'!D193="","",'Preencher pelo celular'!D193)</f>
        <v/>
      </c>
      <c r="S35" s="21">
        <f>IF('Preencher pelo celular'!F193="","",'Preencher pelo celular'!F193)</f>
        <v/>
      </c>
      <c r="T35" s="19">
        <f>IF(COUNT(B35,E35,H35,K35,N35,Q35)=0,"",AVERAGE(B35,E35,H35,K35,N35,Q35))</f>
        <v/>
      </c>
      <c r="U35" s="19">
        <f>IF(COUNT(D35,G35,J35,M35,P35,S35)=0,"",AVERAGE(D35,G35,J35,M35,P35,S35))</f>
        <v/>
      </c>
      <c r="V35" s="19">
        <f>IF(COUNT(C35,F35,I35,L35,O35,R35)=0,"",SUM(C35,F35,I35,L35,O35,R35))</f>
        <v/>
      </c>
    </row>
    <row r="36">
      <c r="A36" s="18">
        <f>'Preencher pelo celular'!A194</f>
        <v/>
      </c>
      <c r="B36" s="14">
        <f>IF('Preencher pelo celular'!C194="","",'Preencher pelo celular'!C194)</f>
        <v/>
      </c>
      <c r="C36" s="14">
        <f>IF('Preencher pelo celular'!D194="","",'Preencher pelo celular'!D194)</f>
        <v/>
      </c>
      <c r="D36" s="14">
        <f>IF('Preencher pelo celular'!F194="","",'Preencher pelo celular'!F194)</f>
        <v/>
      </c>
      <c r="E36" s="14">
        <f>IF('Preencher pelo celular'!C195="","",'Preencher pelo celular'!C195)</f>
        <v/>
      </c>
      <c r="F36" s="14">
        <f>IF('Preencher pelo celular'!D195="","",'Preencher pelo celular'!D195)</f>
        <v/>
      </c>
      <c r="G36" s="14">
        <f>IF('Preencher pelo celular'!F195="","",'Preencher pelo celular'!F195)</f>
        <v/>
      </c>
      <c r="H36" s="14">
        <f>IF('Preencher pelo celular'!C196="","",'Preencher pelo celular'!C196)</f>
        <v/>
      </c>
      <c r="I36" s="14">
        <f>IF('Preencher pelo celular'!D196="","",'Preencher pelo celular'!D196)</f>
        <v/>
      </c>
      <c r="J36" s="14">
        <f>IF('Preencher pelo celular'!F196="","",'Preencher pelo celular'!F196)</f>
        <v/>
      </c>
      <c r="K36" s="14">
        <f>IF('Preencher pelo celular'!C197="","",'Preencher pelo celular'!C197)</f>
        <v/>
      </c>
      <c r="L36" s="14">
        <f>IF('Preencher pelo celular'!D197="","",'Preencher pelo celular'!D197)</f>
        <v/>
      </c>
      <c r="M36" s="14">
        <f>IF('Preencher pelo celular'!F197="","",'Preencher pelo celular'!F197)</f>
        <v/>
      </c>
      <c r="N36" s="14">
        <f>IF('Preencher pelo celular'!C198="","",'Preencher pelo celular'!C198)</f>
        <v/>
      </c>
      <c r="O36" s="14">
        <f>IF('Preencher pelo celular'!D198="","",'Preencher pelo celular'!D198)</f>
        <v/>
      </c>
      <c r="P36" s="14">
        <f>IF('Preencher pelo celular'!F198="","",'Preencher pelo celular'!F198)</f>
        <v/>
      </c>
      <c r="Q36" s="14">
        <f>IF('Preencher pelo celular'!C199="","",'Preencher pelo celular'!C199)</f>
        <v/>
      </c>
      <c r="R36" s="14">
        <f>IF('Preencher pelo celular'!D199="","",'Preencher pelo celular'!D199)</f>
        <v/>
      </c>
      <c r="S36" s="14">
        <f>IF('Preencher pelo celular'!F199="","",'Preencher pelo celular'!F199)</f>
        <v/>
      </c>
      <c r="T36" s="19">
        <f>IF(COUNT(B36,E36,H36,K36,N36,Q36)=0,"",AVERAGE(B36,E36,H36,K36,N36,Q36))</f>
        <v/>
      </c>
      <c r="U36" s="19">
        <f>IF(COUNT(D36,G36,J36,M36,P36,S36)=0,"",AVERAGE(D36,G36,J36,M36,P36,S36))</f>
        <v/>
      </c>
      <c r="V36" s="19">
        <f>IF(COUNT(C36,F36,I36,L36,O36,R36)=0,"",SUM(C36,F36,I36,L36,O36,R36))</f>
        <v/>
      </c>
    </row>
    <row r="37">
      <c r="A37" s="20">
        <f>'Preencher pelo celular'!A200</f>
        <v/>
      </c>
      <c r="B37" s="21">
        <f>IF('Preencher pelo celular'!C200="","",'Preencher pelo celular'!C200)</f>
        <v/>
      </c>
      <c r="C37" s="21">
        <f>IF('Preencher pelo celular'!D200="","",'Preencher pelo celular'!D200)</f>
        <v/>
      </c>
      <c r="D37" s="21">
        <f>IF('Preencher pelo celular'!F200="","",'Preencher pelo celular'!F200)</f>
        <v/>
      </c>
      <c r="E37" s="21">
        <f>IF('Preencher pelo celular'!C201="","",'Preencher pelo celular'!C201)</f>
        <v/>
      </c>
      <c r="F37" s="21">
        <f>IF('Preencher pelo celular'!D201="","",'Preencher pelo celular'!D201)</f>
        <v/>
      </c>
      <c r="G37" s="21">
        <f>IF('Preencher pelo celular'!F201="","",'Preencher pelo celular'!F201)</f>
        <v/>
      </c>
      <c r="H37" s="21">
        <f>IF('Preencher pelo celular'!C202="","",'Preencher pelo celular'!C202)</f>
        <v/>
      </c>
      <c r="I37" s="21">
        <f>IF('Preencher pelo celular'!D202="","",'Preencher pelo celular'!D202)</f>
        <v/>
      </c>
      <c r="J37" s="21">
        <f>IF('Preencher pelo celular'!F202="","",'Preencher pelo celular'!F202)</f>
        <v/>
      </c>
      <c r="K37" s="21">
        <f>IF('Preencher pelo celular'!C203="","",'Preencher pelo celular'!C203)</f>
        <v/>
      </c>
      <c r="L37" s="21">
        <f>IF('Preencher pelo celular'!D203="","",'Preencher pelo celular'!D203)</f>
        <v/>
      </c>
      <c r="M37" s="21">
        <f>IF('Preencher pelo celular'!F203="","",'Preencher pelo celular'!F203)</f>
        <v/>
      </c>
      <c r="N37" s="21">
        <f>IF('Preencher pelo celular'!C204="","",'Preencher pelo celular'!C204)</f>
        <v/>
      </c>
      <c r="O37" s="21">
        <f>IF('Preencher pelo celular'!D204="","",'Preencher pelo celular'!D204)</f>
        <v/>
      </c>
      <c r="P37" s="21">
        <f>IF('Preencher pelo celular'!F204="","",'Preencher pelo celular'!F204)</f>
        <v/>
      </c>
      <c r="Q37" s="21">
        <f>IF('Preencher pelo celular'!C205="","",'Preencher pelo celular'!C205)</f>
        <v/>
      </c>
      <c r="R37" s="21">
        <f>IF('Preencher pelo celular'!D205="","",'Preencher pelo celular'!D205)</f>
        <v/>
      </c>
      <c r="S37" s="21">
        <f>IF('Preencher pelo celular'!F205="","",'Preencher pelo celular'!F205)</f>
        <v/>
      </c>
      <c r="T37" s="19">
        <f>IF(COUNT(B37,E37,H37,K37,N37,Q37)=0,"",AVERAGE(B37,E37,H37,K37,N37,Q37))</f>
        <v/>
      </c>
      <c r="U37" s="19">
        <f>IF(COUNT(D37,G37,J37,M37,P37,S37)=0,"",AVERAGE(D37,G37,J37,M37,P37,S37))</f>
        <v/>
      </c>
      <c r="V37" s="19">
        <f>IF(COUNT(C37,F37,I37,L37,O37,R37)=0,"",SUM(C37,F37,I37,L37,O37,R37))</f>
        <v/>
      </c>
    </row>
    <row r="38">
      <c r="A38" s="18">
        <f>'Preencher pelo celular'!A206</f>
        <v/>
      </c>
      <c r="B38" s="14">
        <f>IF('Preencher pelo celular'!C206="","",'Preencher pelo celular'!C206)</f>
        <v/>
      </c>
      <c r="C38" s="14">
        <f>IF('Preencher pelo celular'!D206="","",'Preencher pelo celular'!D206)</f>
        <v/>
      </c>
      <c r="D38" s="14">
        <f>IF('Preencher pelo celular'!F206="","",'Preencher pelo celular'!F206)</f>
        <v/>
      </c>
      <c r="E38" s="14">
        <f>IF('Preencher pelo celular'!C207="","",'Preencher pelo celular'!C207)</f>
        <v/>
      </c>
      <c r="F38" s="14">
        <f>IF('Preencher pelo celular'!D207="","",'Preencher pelo celular'!D207)</f>
        <v/>
      </c>
      <c r="G38" s="14">
        <f>IF('Preencher pelo celular'!F207="","",'Preencher pelo celular'!F207)</f>
        <v/>
      </c>
      <c r="H38" s="14">
        <f>IF('Preencher pelo celular'!C208="","",'Preencher pelo celular'!C208)</f>
        <v/>
      </c>
      <c r="I38" s="14">
        <f>IF('Preencher pelo celular'!D208="","",'Preencher pelo celular'!D208)</f>
        <v/>
      </c>
      <c r="J38" s="14">
        <f>IF('Preencher pelo celular'!F208="","",'Preencher pelo celular'!F208)</f>
        <v/>
      </c>
      <c r="K38" s="14">
        <f>IF('Preencher pelo celular'!C209="","",'Preencher pelo celular'!C209)</f>
        <v/>
      </c>
      <c r="L38" s="14">
        <f>IF('Preencher pelo celular'!D209="","",'Preencher pelo celular'!D209)</f>
        <v/>
      </c>
      <c r="M38" s="14">
        <f>IF('Preencher pelo celular'!F209="","",'Preencher pelo celular'!F209)</f>
        <v/>
      </c>
      <c r="N38" s="14">
        <f>IF('Preencher pelo celular'!C210="","",'Preencher pelo celular'!C210)</f>
        <v/>
      </c>
      <c r="O38" s="14">
        <f>IF('Preencher pelo celular'!D210="","",'Preencher pelo celular'!D210)</f>
        <v/>
      </c>
      <c r="P38" s="14">
        <f>IF('Preencher pelo celular'!F210="","",'Preencher pelo celular'!F210)</f>
        <v/>
      </c>
      <c r="Q38" s="14">
        <f>IF('Preencher pelo celular'!C211="","",'Preencher pelo celular'!C211)</f>
        <v/>
      </c>
      <c r="R38" s="14">
        <f>IF('Preencher pelo celular'!D211="","",'Preencher pelo celular'!D211)</f>
        <v/>
      </c>
      <c r="S38" s="14">
        <f>IF('Preencher pelo celular'!F211="","",'Preencher pelo celular'!F211)</f>
        <v/>
      </c>
      <c r="T38" s="19">
        <f>IF(COUNT(B38,E38,H38,K38,N38,Q38)=0,"",AVERAGE(B38,E38,H38,K38,N38,Q38))</f>
        <v/>
      </c>
      <c r="U38" s="19">
        <f>IF(COUNT(D38,G38,J38,M38,P38,S38)=0,"",AVERAGE(D38,G38,J38,M38,P38,S38))</f>
        <v/>
      </c>
      <c r="V38" s="19">
        <f>IF(COUNT(C38,F38,I38,L38,O38,R38)=0,"",SUM(C38,F38,I38,L38,O38,R38))</f>
        <v/>
      </c>
    </row>
    <row r="39">
      <c r="A39" s="20">
        <f>'Preencher pelo celular'!A212</f>
        <v/>
      </c>
      <c r="B39" s="21">
        <f>IF('Preencher pelo celular'!C212="","",'Preencher pelo celular'!C212)</f>
        <v/>
      </c>
      <c r="C39" s="21">
        <f>IF('Preencher pelo celular'!D212="","",'Preencher pelo celular'!D212)</f>
        <v/>
      </c>
      <c r="D39" s="21">
        <f>IF('Preencher pelo celular'!F212="","",'Preencher pelo celular'!F212)</f>
        <v/>
      </c>
      <c r="E39" s="21">
        <f>IF('Preencher pelo celular'!C213="","",'Preencher pelo celular'!C213)</f>
        <v/>
      </c>
      <c r="F39" s="21">
        <f>IF('Preencher pelo celular'!D213="","",'Preencher pelo celular'!D213)</f>
        <v/>
      </c>
      <c r="G39" s="21">
        <f>IF('Preencher pelo celular'!F213="","",'Preencher pelo celular'!F213)</f>
        <v/>
      </c>
      <c r="H39" s="21">
        <f>IF('Preencher pelo celular'!C214="","",'Preencher pelo celular'!C214)</f>
        <v/>
      </c>
      <c r="I39" s="21">
        <f>IF('Preencher pelo celular'!D214="","",'Preencher pelo celular'!D214)</f>
        <v/>
      </c>
      <c r="J39" s="21">
        <f>IF('Preencher pelo celular'!F214="","",'Preencher pelo celular'!F214)</f>
        <v/>
      </c>
      <c r="K39" s="21">
        <f>IF('Preencher pelo celular'!C215="","",'Preencher pelo celular'!C215)</f>
        <v/>
      </c>
      <c r="L39" s="21">
        <f>IF('Preencher pelo celular'!D215="","",'Preencher pelo celular'!D215)</f>
        <v/>
      </c>
      <c r="M39" s="21">
        <f>IF('Preencher pelo celular'!F215="","",'Preencher pelo celular'!F215)</f>
        <v/>
      </c>
      <c r="N39" s="21">
        <f>IF('Preencher pelo celular'!C216="","",'Preencher pelo celular'!C216)</f>
        <v/>
      </c>
      <c r="O39" s="21">
        <f>IF('Preencher pelo celular'!D216="","",'Preencher pelo celular'!D216)</f>
        <v/>
      </c>
      <c r="P39" s="21">
        <f>IF('Preencher pelo celular'!F216="","",'Preencher pelo celular'!F216)</f>
        <v/>
      </c>
      <c r="Q39" s="21">
        <f>IF('Preencher pelo celular'!C217="","",'Preencher pelo celular'!C217)</f>
        <v/>
      </c>
      <c r="R39" s="21">
        <f>IF('Preencher pelo celular'!D217="","",'Preencher pelo celular'!D217)</f>
        <v/>
      </c>
      <c r="S39" s="21">
        <f>IF('Preencher pelo celular'!F217="","",'Preencher pelo celular'!F217)</f>
        <v/>
      </c>
      <c r="T39" s="19">
        <f>IF(COUNT(B39,E39,H39,K39,N39,Q39)=0,"",AVERAGE(B39,E39,H39,K39,N39,Q39))</f>
        <v/>
      </c>
      <c r="U39" s="19">
        <f>IF(COUNT(D39,G39,J39,M39,P39,S39)=0,"",AVERAGE(D39,G39,J39,M39,P39,S39))</f>
        <v/>
      </c>
      <c r="V39" s="19">
        <f>IF(COUNT(C39,F39,I39,L39,O39,R39)=0,"",SUM(C39,F39,I39,L39,O39,R39))</f>
        <v/>
      </c>
    </row>
    <row r="40">
      <c r="A40" s="18">
        <f>'Preencher pelo celular'!A218</f>
        <v/>
      </c>
      <c r="B40" s="14">
        <f>IF('Preencher pelo celular'!C218="","",'Preencher pelo celular'!C218)</f>
        <v/>
      </c>
      <c r="C40" s="14">
        <f>IF('Preencher pelo celular'!D218="","",'Preencher pelo celular'!D218)</f>
        <v/>
      </c>
      <c r="D40" s="14">
        <f>IF('Preencher pelo celular'!F218="","",'Preencher pelo celular'!F218)</f>
        <v/>
      </c>
      <c r="E40" s="14">
        <f>IF('Preencher pelo celular'!C219="","",'Preencher pelo celular'!C219)</f>
        <v/>
      </c>
      <c r="F40" s="14">
        <f>IF('Preencher pelo celular'!D219="","",'Preencher pelo celular'!D219)</f>
        <v/>
      </c>
      <c r="G40" s="14">
        <f>IF('Preencher pelo celular'!F219="","",'Preencher pelo celular'!F219)</f>
        <v/>
      </c>
      <c r="H40" s="14">
        <f>IF('Preencher pelo celular'!C220="","",'Preencher pelo celular'!C220)</f>
        <v/>
      </c>
      <c r="I40" s="14">
        <f>IF('Preencher pelo celular'!D220="","",'Preencher pelo celular'!D220)</f>
        <v/>
      </c>
      <c r="J40" s="14">
        <f>IF('Preencher pelo celular'!F220="","",'Preencher pelo celular'!F220)</f>
        <v/>
      </c>
      <c r="K40" s="14">
        <f>IF('Preencher pelo celular'!C221="","",'Preencher pelo celular'!C221)</f>
        <v/>
      </c>
      <c r="L40" s="14">
        <f>IF('Preencher pelo celular'!D221="","",'Preencher pelo celular'!D221)</f>
        <v/>
      </c>
      <c r="M40" s="14">
        <f>IF('Preencher pelo celular'!F221="","",'Preencher pelo celular'!F221)</f>
        <v/>
      </c>
      <c r="N40" s="14">
        <f>IF('Preencher pelo celular'!C222="","",'Preencher pelo celular'!C222)</f>
        <v/>
      </c>
      <c r="O40" s="14">
        <f>IF('Preencher pelo celular'!D222="","",'Preencher pelo celular'!D222)</f>
        <v/>
      </c>
      <c r="P40" s="14">
        <f>IF('Preencher pelo celular'!F222="","",'Preencher pelo celular'!F222)</f>
        <v/>
      </c>
      <c r="Q40" s="14">
        <f>IF('Preencher pelo celular'!C223="","",'Preencher pelo celular'!C223)</f>
        <v/>
      </c>
      <c r="R40" s="14">
        <f>IF('Preencher pelo celular'!D223="","",'Preencher pelo celular'!D223)</f>
        <v/>
      </c>
      <c r="S40" s="14">
        <f>IF('Preencher pelo celular'!F223="","",'Preencher pelo celular'!F223)</f>
        <v/>
      </c>
      <c r="T40" s="19">
        <f>IF(COUNT(B40,E40,H40,K40,N40,Q40)=0,"",AVERAGE(B40,E40,H40,K40,N40,Q40))</f>
        <v/>
      </c>
      <c r="U40" s="19">
        <f>IF(COUNT(D40,G40,J40,M40,P40,S40)=0,"",AVERAGE(D40,G40,J40,M40,P40,S40))</f>
        <v/>
      </c>
      <c r="V40" s="19">
        <f>IF(COUNT(C40,F40,I40,L40,O40,R40)=0,"",SUM(C40,F40,I40,L40,O40,R40))</f>
        <v/>
      </c>
    </row>
    <row r="41">
      <c r="A41" s="20">
        <f>'Preencher pelo celular'!A224</f>
        <v/>
      </c>
      <c r="B41" s="21">
        <f>IF('Preencher pelo celular'!C224="","",'Preencher pelo celular'!C224)</f>
        <v/>
      </c>
      <c r="C41" s="21">
        <f>IF('Preencher pelo celular'!D224="","",'Preencher pelo celular'!D224)</f>
        <v/>
      </c>
      <c r="D41" s="21">
        <f>IF('Preencher pelo celular'!F224="","",'Preencher pelo celular'!F224)</f>
        <v/>
      </c>
      <c r="E41" s="21">
        <f>IF('Preencher pelo celular'!C225="","",'Preencher pelo celular'!C225)</f>
        <v/>
      </c>
      <c r="F41" s="21">
        <f>IF('Preencher pelo celular'!D225="","",'Preencher pelo celular'!D225)</f>
        <v/>
      </c>
      <c r="G41" s="21">
        <f>IF('Preencher pelo celular'!F225="","",'Preencher pelo celular'!F225)</f>
        <v/>
      </c>
      <c r="H41" s="21">
        <f>IF('Preencher pelo celular'!C226="","",'Preencher pelo celular'!C226)</f>
        <v/>
      </c>
      <c r="I41" s="21">
        <f>IF('Preencher pelo celular'!D226="","",'Preencher pelo celular'!D226)</f>
        <v/>
      </c>
      <c r="J41" s="21">
        <f>IF('Preencher pelo celular'!F226="","",'Preencher pelo celular'!F226)</f>
        <v/>
      </c>
      <c r="K41" s="21">
        <f>IF('Preencher pelo celular'!C227="","",'Preencher pelo celular'!C227)</f>
        <v/>
      </c>
      <c r="L41" s="21">
        <f>IF('Preencher pelo celular'!D227="","",'Preencher pelo celular'!D227)</f>
        <v/>
      </c>
      <c r="M41" s="21">
        <f>IF('Preencher pelo celular'!F227="","",'Preencher pelo celular'!F227)</f>
        <v/>
      </c>
      <c r="N41" s="21">
        <f>IF('Preencher pelo celular'!C228="","",'Preencher pelo celular'!C228)</f>
        <v/>
      </c>
      <c r="O41" s="21">
        <f>IF('Preencher pelo celular'!D228="","",'Preencher pelo celular'!D228)</f>
        <v/>
      </c>
      <c r="P41" s="21">
        <f>IF('Preencher pelo celular'!F228="","",'Preencher pelo celular'!F228)</f>
        <v/>
      </c>
      <c r="Q41" s="21">
        <f>IF('Preencher pelo celular'!C229="","",'Preencher pelo celular'!C229)</f>
        <v/>
      </c>
      <c r="R41" s="21">
        <f>IF('Preencher pelo celular'!D229="","",'Preencher pelo celular'!D229)</f>
        <v/>
      </c>
      <c r="S41" s="21">
        <f>IF('Preencher pelo celular'!F229="","",'Preencher pelo celular'!F229)</f>
        <v/>
      </c>
      <c r="T41" s="19">
        <f>IF(COUNT(B41,E41,H41,K41,N41,Q41)=0,"",AVERAGE(B41,E41,H41,K41,N41,Q41))</f>
        <v/>
      </c>
      <c r="U41" s="19">
        <f>IF(COUNT(D41,G41,J41,M41,P41,S41)=0,"",AVERAGE(D41,G41,J41,M41,P41,S41))</f>
        <v/>
      </c>
      <c r="V41" s="19">
        <f>IF(COUNT(C41,F41,I41,L41,O41,R41)=0,"",SUM(C41,F41,I41,L41,O41,R41))</f>
        <v/>
      </c>
    </row>
    <row r="42">
      <c r="A42" s="18">
        <f>'Preencher pelo celular'!A230</f>
        <v/>
      </c>
      <c r="B42" s="14">
        <f>IF('Preencher pelo celular'!C230="","",'Preencher pelo celular'!C230)</f>
        <v/>
      </c>
      <c r="C42" s="14">
        <f>IF('Preencher pelo celular'!D230="","",'Preencher pelo celular'!D230)</f>
        <v/>
      </c>
      <c r="D42" s="14">
        <f>IF('Preencher pelo celular'!F230="","",'Preencher pelo celular'!F230)</f>
        <v/>
      </c>
      <c r="E42" s="14">
        <f>IF('Preencher pelo celular'!C231="","",'Preencher pelo celular'!C231)</f>
        <v/>
      </c>
      <c r="F42" s="14">
        <f>IF('Preencher pelo celular'!D231="","",'Preencher pelo celular'!D231)</f>
        <v/>
      </c>
      <c r="G42" s="14">
        <f>IF('Preencher pelo celular'!F231="","",'Preencher pelo celular'!F231)</f>
        <v/>
      </c>
      <c r="H42" s="14">
        <f>IF('Preencher pelo celular'!C232="","",'Preencher pelo celular'!C232)</f>
        <v/>
      </c>
      <c r="I42" s="14">
        <f>IF('Preencher pelo celular'!D232="","",'Preencher pelo celular'!D232)</f>
        <v/>
      </c>
      <c r="J42" s="14">
        <f>IF('Preencher pelo celular'!F232="","",'Preencher pelo celular'!F232)</f>
        <v/>
      </c>
      <c r="K42" s="14">
        <f>IF('Preencher pelo celular'!C233="","",'Preencher pelo celular'!C233)</f>
        <v/>
      </c>
      <c r="L42" s="14">
        <f>IF('Preencher pelo celular'!D233="","",'Preencher pelo celular'!D233)</f>
        <v/>
      </c>
      <c r="M42" s="14">
        <f>IF('Preencher pelo celular'!F233="","",'Preencher pelo celular'!F233)</f>
        <v/>
      </c>
      <c r="N42" s="14">
        <f>IF('Preencher pelo celular'!C234="","",'Preencher pelo celular'!C234)</f>
        <v/>
      </c>
      <c r="O42" s="14">
        <f>IF('Preencher pelo celular'!D234="","",'Preencher pelo celular'!D234)</f>
        <v/>
      </c>
      <c r="P42" s="14">
        <f>IF('Preencher pelo celular'!F234="","",'Preencher pelo celular'!F234)</f>
        <v/>
      </c>
      <c r="Q42" s="14">
        <f>IF('Preencher pelo celular'!C235="","",'Preencher pelo celular'!C235)</f>
        <v/>
      </c>
      <c r="R42" s="14">
        <f>IF('Preencher pelo celular'!D235="","",'Preencher pelo celular'!D235)</f>
        <v/>
      </c>
      <c r="S42" s="14">
        <f>IF('Preencher pelo celular'!F235="","",'Preencher pelo celular'!F235)</f>
        <v/>
      </c>
      <c r="T42" s="19">
        <f>IF(COUNT(B42,E42,H42,K42,N42,Q42)=0,"",AVERAGE(B42,E42,H42,K42,N42,Q42))</f>
        <v/>
      </c>
      <c r="U42" s="19">
        <f>IF(COUNT(D42,G42,J42,M42,P42,S42)=0,"",AVERAGE(D42,G42,J42,M42,P42,S42))</f>
        <v/>
      </c>
      <c r="V42" s="19">
        <f>IF(COUNT(C42,F42,I42,L42,O42,R42)=0,"",SUM(C42,F42,I42,L42,O42,R42))</f>
        <v/>
      </c>
    </row>
    <row r="43">
      <c r="A43" s="20">
        <f>'Preencher pelo celular'!A236</f>
        <v/>
      </c>
      <c r="B43" s="21">
        <f>IF('Preencher pelo celular'!C236="","",'Preencher pelo celular'!C236)</f>
        <v/>
      </c>
      <c r="C43" s="21">
        <f>IF('Preencher pelo celular'!D236="","",'Preencher pelo celular'!D236)</f>
        <v/>
      </c>
      <c r="D43" s="21">
        <f>IF('Preencher pelo celular'!F236="","",'Preencher pelo celular'!F236)</f>
        <v/>
      </c>
      <c r="E43" s="21">
        <f>IF('Preencher pelo celular'!C237="","",'Preencher pelo celular'!C237)</f>
        <v/>
      </c>
      <c r="F43" s="21">
        <f>IF('Preencher pelo celular'!D237="","",'Preencher pelo celular'!D237)</f>
        <v/>
      </c>
      <c r="G43" s="21">
        <f>IF('Preencher pelo celular'!F237="","",'Preencher pelo celular'!F237)</f>
        <v/>
      </c>
      <c r="H43" s="21">
        <f>IF('Preencher pelo celular'!C238="","",'Preencher pelo celular'!C238)</f>
        <v/>
      </c>
      <c r="I43" s="21">
        <f>IF('Preencher pelo celular'!D238="","",'Preencher pelo celular'!D238)</f>
        <v/>
      </c>
      <c r="J43" s="21">
        <f>IF('Preencher pelo celular'!F238="","",'Preencher pelo celular'!F238)</f>
        <v/>
      </c>
      <c r="K43" s="21">
        <f>IF('Preencher pelo celular'!C239="","",'Preencher pelo celular'!C239)</f>
        <v/>
      </c>
      <c r="L43" s="21">
        <f>IF('Preencher pelo celular'!D239="","",'Preencher pelo celular'!D239)</f>
        <v/>
      </c>
      <c r="M43" s="21">
        <f>IF('Preencher pelo celular'!F239="","",'Preencher pelo celular'!F239)</f>
        <v/>
      </c>
      <c r="N43" s="21">
        <f>IF('Preencher pelo celular'!C240="","",'Preencher pelo celular'!C240)</f>
        <v/>
      </c>
      <c r="O43" s="21">
        <f>IF('Preencher pelo celular'!D240="","",'Preencher pelo celular'!D240)</f>
        <v/>
      </c>
      <c r="P43" s="21">
        <f>IF('Preencher pelo celular'!F240="","",'Preencher pelo celular'!F240)</f>
        <v/>
      </c>
      <c r="Q43" s="21">
        <f>IF('Preencher pelo celular'!C241="","",'Preencher pelo celular'!C241)</f>
        <v/>
      </c>
      <c r="R43" s="21">
        <f>IF('Preencher pelo celular'!D241="","",'Preencher pelo celular'!D241)</f>
        <v/>
      </c>
      <c r="S43" s="21">
        <f>IF('Preencher pelo celular'!F241="","",'Preencher pelo celular'!F241)</f>
        <v/>
      </c>
      <c r="T43" s="19">
        <f>IF(COUNT(B43,E43,H43,K43,N43,Q43)=0,"",AVERAGE(B43,E43,H43,K43,N43,Q43))</f>
        <v/>
      </c>
      <c r="U43" s="19">
        <f>IF(COUNT(D43,G43,J43,M43,P43,S43)=0,"",AVERAGE(D43,G43,J43,M43,P43,S43))</f>
        <v/>
      </c>
      <c r="V43" s="19">
        <f>IF(COUNT(C43,F43,I43,L43,O43,R43)=0,"",SUM(C43,F43,I43,L43,O43,R43))</f>
        <v/>
      </c>
    </row>
    <row r="44">
      <c r="A44" s="18">
        <f>'Preencher pelo celular'!A242</f>
        <v/>
      </c>
      <c r="B44" s="14">
        <f>IF('Preencher pelo celular'!C242="","",'Preencher pelo celular'!C242)</f>
        <v/>
      </c>
      <c r="C44" s="14">
        <f>IF('Preencher pelo celular'!D242="","",'Preencher pelo celular'!D242)</f>
        <v/>
      </c>
      <c r="D44" s="14">
        <f>IF('Preencher pelo celular'!F242="","",'Preencher pelo celular'!F242)</f>
        <v/>
      </c>
      <c r="E44" s="14">
        <f>IF('Preencher pelo celular'!C243="","",'Preencher pelo celular'!C243)</f>
        <v/>
      </c>
      <c r="F44" s="14">
        <f>IF('Preencher pelo celular'!D243="","",'Preencher pelo celular'!D243)</f>
        <v/>
      </c>
      <c r="G44" s="14">
        <f>IF('Preencher pelo celular'!F243="","",'Preencher pelo celular'!F243)</f>
        <v/>
      </c>
      <c r="H44" s="14">
        <f>IF('Preencher pelo celular'!C244="","",'Preencher pelo celular'!C244)</f>
        <v/>
      </c>
      <c r="I44" s="14">
        <f>IF('Preencher pelo celular'!D244="","",'Preencher pelo celular'!D244)</f>
        <v/>
      </c>
      <c r="J44" s="14">
        <f>IF('Preencher pelo celular'!F244="","",'Preencher pelo celular'!F244)</f>
        <v/>
      </c>
      <c r="K44" s="14">
        <f>IF('Preencher pelo celular'!C245="","",'Preencher pelo celular'!C245)</f>
        <v/>
      </c>
      <c r="L44" s="14">
        <f>IF('Preencher pelo celular'!D245="","",'Preencher pelo celular'!D245)</f>
        <v/>
      </c>
      <c r="M44" s="14">
        <f>IF('Preencher pelo celular'!F245="","",'Preencher pelo celular'!F245)</f>
        <v/>
      </c>
      <c r="N44" s="14">
        <f>IF('Preencher pelo celular'!C246="","",'Preencher pelo celular'!C246)</f>
        <v/>
      </c>
      <c r="O44" s="14">
        <f>IF('Preencher pelo celular'!D246="","",'Preencher pelo celular'!D246)</f>
        <v/>
      </c>
      <c r="P44" s="14">
        <f>IF('Preencher pelo celular'!F246="","",'Preencher pelo celular'!F246)</f>
        <v/>
      </c>
      <c r="Q44" s="14">
        <f>IF('Preencher pelo celular'!C247="","",'Preencher pelo celular'!C247)</f>
        <v/>
      </c>
      <c r="R44" s="14">
        <f>IF('Preencher pelo celular'!D247="","",'Preencher pelo celular'!D247)</f>
        <v/>
      </c>
      <c r="S44" s="14">
        <f>IF('Preencher pelo celular'!F247="","",'Preencher pelo celular'!F247)</f>
        <v/>
      </c>
      <c r="T44" s="19">
        <f>IF(COUNT(B44,E44,H44,K44,N44,Q44)=0,"",AVERAGE(B44,E44,H44,K44,N44,Q44))</f>
        <v/>
      </c>
      <c r="U44" s="19">
        <f>IF(COUNT(D44,G44,J44,M44,P44,S44)=0,"",AVERAGE(D44,G44,J44,M44,P44,S44))</f>
        <v/>
      </c>
      <c r="V44" s="19">
        <f>IF(COUNT(C44,F44,I44,L44,O44,R44)=0,"",SUM(C44,F44,I44,L44,O44,R44))</f>
        <v/>
      </c>
    </row>
    <row r="45">
      <c r="A45" s="20">
        <f>'Preencher pelo celular'!A248</f>
        <v/>
      </c>
      <c r="B45" s="21">
        <f>IF('Preencher pelo celular'!C248="","",'Preencher pelo celular'!C248)</f>
        <v/>
      </c>
      <c r="C45" s="21">
        <f>IF('Preencher pelo celular'!D248="","",'Preencher pelo celular'!D248)</f>
        <v/>
      </c>
      <c r="D45" s="21">
        <f>IF('Preencher pelo celular'!F248="","",'Preencher pelo celular'!F248)</f>
        <v/>
      </c>
      <c r="E45" s="21">
        <f>IF('Preencher pelo celular'!C249="","",'Preencher pelo celular'!C249)</f>
        <v/>
      </c>
      <c r="F45" s="21">
        <f>IF('Preencher pelo celular'!D249="","",'Preencher pelo celular'!D249)</f>
        <v/>
      </c>
      <c r="G45" s="21">
        <f>IF('Preencher pelo celular'!F249="","",'Preencher pelo celular'!F249)</f>
        <v/>
      </c>
      <c r="H45" s="21">
        <f>IF('Preencher pelo celular'!C250="","",'Preencher pelo celular'!C250)</f>
        <v/>
      </c>
      <c r="I45" s="21">
        <f>IF('Preencher pelo celular'!D250="","",'Preencher pelo celular'!D250)</f>
        <v/>
      </c>
      <c r="J45" s="21">
        <f>IF('Preencher pelo celular'!F250="","",'Preencher pelo celular'!F250)</f>
        <v/>
      </c>
      <c r="K45" s="21">
        <f>IF('Preencher pelo celular'!C251="","",'Preencher pelo celular'!C251)</f>
        <v/>
      </c>
      <c r="L45" s="21">
        <f>IF('Preencher pelo celular'!D251="","",'Preencher pelo celular'!D251)</f>
        <v/>
      </c>
      <c r="M45" s="21">
        <f>IF('Preencher pelo celular'!F251="","",'Preencher pelo celular'!F251)</f>
        <v/>
      </c>
      <c r="N45" s="21">
        <f>IF('Preencher pelo celular'!C252="","",'Preencher pelo celular'!C252)</f>
        <v/>
      </c>
      <c r="O45" s="21">
        <f>IF('Preencher pelo celular'!D252="","",'Preencher pelo celular'!D252)</f>
        <v/>
      </c>
      <c r="P45" s="21">
        <f>IF('Preencher pelo celular'!F252="","",'Preencher pelo celular'!F252)</f>
        <v/>
      </c>
      <c r="Q45" s="21">
        <f>IF('Preencher pelo celular'!C253="","",'Preencher pelo celular'!C253)</f>
        <v/>
      </c>
      <c r="R45" s="21">
        <f>IF('Preencher pelo celular'!D253="","",'Preencher pelo celular'!D253)</f>
        <v/>
      </c>
      <c r="S45" s="21">
        <f>IF('Preencher pelo celular'!F253="","",'Preencher pelo celular'!F253)</f>
        <v/>
      </c>
      <c r="T45" s="19">
        <f>IF(COUNT(B45,E45,H45,K45,N45,Q45)=0,"",AVERAGE(B45,E45,H45,K45,N45,Q45))</f>
        <v/>
      </c>
      <c r="U45" s="19">
        <f>IF(COUNT(D45,G45,J45,M45,P45,S45)=0,"",AVERAGE(D45,G45,J45,M45,P45,S45))</f>
        <v/>
      </c>
      <c r="V45" s="19">
        <f>IF(COUNT(C45,F45,I45,L45,O45,R45)=0,"",SUM(C45,F45,I45,L45,O45,R45))</f>
        <v/>
      </c>
    </row>
    <row r="46">
      <c r="A46" s="18">
        <f>'Preencher pelo celular'!A254</f>
        <v/>
      </c>
      <c r="B46" s="14">
        <f>IF('Preencher pelo celular'!C254="","",'Preencher pelo celular'!C254)</f>
        <v/>
      </c>
      <c r="C46" s="14">
        <f>IF('Preencher pelo celular'!D254="","",'Preencher pelo celular'!D254)</f>
        <v/>
      </c>
      <c r="D46" s="14">
        <f>IF('Preencher pelo celular'!F254="","",'Preencher pelo celular'!F254)</f>
        <v/>
      </c>
      <c r="E46" s="14">
        <f>IF('Preencher pelo celular'!C255="","",'Preencher pelo celular'!C255)</f>
        <v/>
      </c>
      <c r="F46" s="14">
        <f>IF('Preencher pelo celular'!D255="","",'Preencher pelo celular'!D255)</f>
        <v/>
      </c>
      <c r="G46" s="14">
        <f>IF('Preencher pelo celular'!F255="","",'Preencher pelo celular'!F255)</f>
        <v/>
      </c>
      <c r="H46" s="14">
        <f>IF('Preencher pelo celular'!C256="","",'Preencher pelo celular'!C256)</f>
        <v/>
      </c>
      <c r="I46" s="14">
        <f>IF('Preencher pelo celular'!D256="","",'Preencher pelo celular'!D256)</f>
        <v/>
      </c>
      <c r="J46" s="14">
        <f>IF('Preencher pelo celular'!F256="","",'Preencher pelo celular'!F256)</f>
        <v/>
      </c>
      <c r="K46" s="14">
        <f>IF('Preencher pelo celular'!C257="","",'Preencher pelo celular'!C257)</f>
        <v/>
      </c>
      <c r="L46" s="14">
        <f>IF('Preencher pelo celular'!D257="","",'Preencher pelo celular'!D257)</f>
        <v/>
      </c>
      <c r="M46" s="14">
        <f>IF('Preencher pelo celular'!F257="","",'Preencher pelo celular'!F257)</f>
        <v/>
      </c>
      <c r="N46" s="14">
        <f>IF('Preencher pelo celular'!C258="","",'Preencher pelo celular'!C258)</f>
        <v/>
      </c>
      <c r="O46" s="14">
        <f>IF('Preencher pelo celular'!D258="","",'Preencher pelo celular'!D258)</f>
        <v/>
      </c>
      <c r="P46" s="14">
        <f>IF('Preencher pelo celular'!F258="","",'Preencher pelo celular'!F258)</f>
        <v/>
      </c>
      <c r="Q46" s="14">
        <f>IF('Preencher pelo celular'!C259="","",'Preencher pelo celular'!C259)</f>
        <v/>
      </c>
      <c r="R46" s="14">
        <f>IF('Preencher pelo celular'!D259="","",'Preencher pelo celular'!D259)</f>
        <v/>
      </c>
      <c r="S46" s="14">
        <f>IF('Preencher pelo celular'!F259="","",'Preencher pelo celular'!F259)</f>
        <v/>
      </c>
      <c r="T46" s="19">
        <f>IF(COUNT(B46,E46,H46,K46,N46,Q46)=0,"",AVERAGE(B46,E46,H46,K46,N46,Q46))</f>
        <v/>
      </c>
      <c r="U46" s="19">
        <f>IF(COUNT(D46,G46,J46,M46,P46,S46)=0,"",AVERAGE(D46,G46,J46,M46,P46,S46))</f>
        <v/>
      </c>
      <c r="V46" s="19">
        <f>IF(COUNT(C46,F46,I46,L46,O46,R46)=0,"",SUM(C46,F46,I46,L46,O46,R46))</f>
        <v/>
      </c>
    </row>
    <row r="47">
      <c r="A47" s="20">
        <f>'Preencher pelo celular'!A260</f>
        <v/>
      </c>
      <c r="B47" s="21">
        <f>IF('Preencher pelo celular'!C260="","",'Preencher pelo celular'!C260)</f>
        <v/>
      </c>
      <c r="C47" s="21">
        <f>IF('Preencher pelo celular'!D260="","",'Preencher pelo celular'!D260)</f>
        <v/>
      </c>
      <c r="D47" s="21">
        <f>IF('Preencher pelo celular'!F260="","",'Preencher pelo celular'!F260)</f>
        <v/>
      </c>
      <c r="E47" s="21">
        <f>IF('Preencher pelo celular'!C261="","",'Preencher pelo celular'!C261)</f>
        <v/>
      </c>
      <c r="F47" s="21">
        <f>IF('Preencher pelo celular'!D261="","",'Preencher pelo celular'!D261)</f>
        <v/>
      </c>
      <c r="G47" s="21">
        <f>IF('Preencher pelo celular'!F261="","",'Preencher pelo celular'!F261)</f>
        <v/>
      </c>
      <c r="H47" s="21">
        <f>IF('Preencher pelo celular'!C262="","",'Preencher pelo celular'!C262)</f>
        <v/>
      </c>
      <c r="I47" s="21">
        <f>IF('Preencher pelo celular'!D262="","",'Preencher pelo celular'!D262)</f>
        <v/>
      </c>
      <c r="J47" s="21">
        <f>IF('Preencher pelo celular'!F262="","",'Preencher pelo celular'!F262)</f>
        <v/>
      </c>
      <c r="K47" s="21">
        <f>IF('Preencher pelo celular'!C263="","",'Preencher pelo celular'!C263)</f>
        <v/>
      </c>
      <c r="L47" s="21">
        <f>IF('Preencher pelo celular'!D263="","",'Preencher pelo celular'!D263)</f>
        <v/>
      </c>
      <c r="M47" s="21">
        <f>IF('Preencher pelo celular'!F263="","",'Preencher pelo celular'!F263)</f>
        <v/>
      </c>
      <c r="N47" s="21">
        <f>IF('Preencher pelo celular'!C264="","",'Preencher pelo celular'!C264)</f>
        <v/>
      </c>
      <c r="O47" s="21">
        <f>IF('Preencher pelo celular'!D264="","",'Preencher pelo celular'!D264)</f>
        <v/>
      </c>
      <c r="P47" s="21">
        <f>IF('Preencher pelo celular'!F264="","",'Preencher pelo celular'!F264)</f>
        <v/>
      </c>
      <c r="Q47" s="21">
        <f>IF('Preencher pelo celular'!C265="","",'Preencher pelo celular'!C265)</f>
        <v/>
      </c>
      <c r="R47" s="21">
        <f>IF('Preencher pelo celular'!D265="","",'Preencher pelo celular'!D265)</f>
        <v/>
      </c>
      <c r="S47" s="21">
        <f>IF('Preencher pelo celular'!F265="","",'Preencher pelo celular'!F265)</f>
        <v/>
      </c>
      <c r="T47" s="19">
        <f>IF(COUNT(B47,E47,H47,K47,N47,Q47)=0,"",AVERAGE(B47,E47,H47,K47,N47,Q47))</f>
        <v/>
      </c>
      <c r="U47" s="19">
        <f>IF(COUNT(D47,G47,J47,M47,P47,S47)=0,"",AVERAGE(D47,G47,J47,M47,P47,S47))</f>
        <v/>
      </c>
      <c r="V47" s="19">
        <f>IF(COUNT(C47,F47,I47,L47,O47,R47)=0,"",SUM(C47,F47,I47,L47,O47,R47))</f>
        <v/>
      </c>
    </row>
    <row r="48">
      <c r="A48" s="18">
        <f>'Preencher pelo celular'!A266</f>
        <v/>
      </c>
      <c r="B48" s="14">
        <f>IF('Preencher pelo celular'!C266="","",'Preencher pelo celular'!C266)</f>
        <v/>
      </c>
      <c r="C48" s="14">
        <f>IF('Preencher pelo celular'!D266="","",'Preencher pelo celular'!D266)</f>
        <v/>
      </c>
      <c r="D48" s="14">
        <f>IF('Preencher pelo celular'!F266="","",'Preencher pelo celular'!F266)</f>
        <v/>
      </c>
      <c r="E48" s="14">
        <f>IF('Preencher pelo celular'!C267="","",'Preencher pelo celular'!C267)</f>
        <v/>
      </c>
      <c r="F48" s="14">
        <f>IF('Preencher pelo celular'!D267="","",'Preencher pelo celular'!D267)</f>
        <v/>
      </c>
      <c r="G48" s="14">
        <f>IF('Preencher pelo celular'!F267="","",'Preencher pelo celular'!F267)</f>
        <v/>
      </c>
      <c r="H48" s="14">
        <f>IF('Preencher pelo celular'!C268="","",'Preencher pelo celular'!C268)</f>
        <v/>
      </c>
      <c r="I48" s="14">
        <f>IF('Preencher pelo celular'!D268="","",'Preencher pelo celular'!D268)</f>
        <v/>
      </c>
      <c r="J48" s="14">
        <f>IF('Preencher pelo celular'!F268="","",'Preencher pelo celular'!F268)</f>
        <v/>
      </c>
      <c r="K48" s="14">
        <f>IF('Preencher pelo celular'!C269="","",'Preencher pelo celular'!C269)</f>
        <v/>
      </c>
      <c r="L48" s="14">
        <f>IF('Preencher pelo celular'!D269="","",'Preencher pelo celular'!D269)</f>
        <v/>
      </c>
      <c r="M48" s="14">
        <f>IF('Preencher pelo celular'!F269="","",'Preencher pelo celular'!F269)</f>
        <v/>
      </c>
      <c r="N48" s="14">
        <f>IF('Preencher pelo celular'!C270="","",'Preencher pelo celular'!C270)</f>
        <v/>
      </c>
      <c r="O48" s="14">
        <f>IF('Preencher pelo celular'!D270="","",'Preencher pelo celular'!D270)</f>
        <v/>
      </c>
      <c r="P48" s="14">
        <f>IF('Preencher pelo celular'!F270="","",'Preencher pelo celular'!F270)</f>
        <v/>
      </c>
      <c r="Q48" s="14">
        <f>IF('Preencher pelo celular'!C271="","",'Preencher pelo celular'!C271)</f>
        <v/>
      </c>
      <c r="R48" s="14">
        <f>IF('Preencher pelo celular'!D271="","",'Preencher pelo celular'!D271)</f>
        <v/>
      </c>
      <c r="S48" s="14">
        <f>IF('Preencher pelo celular'!F271="","",'Preencher pelo celular'!F271)</f>
        <v/>
      </c>
      <c r="T48" s="19">
        <f>IF(COUNT(B48,E48,H48,K48,N48,Q48)=0,"",AVERAGE(B48,E48,H48,K48,N48,Q48))</f>
        <v/>
      </c>
      <c r="U48" s="19">
        <f>IF(COUNT(D48,G48,J48,M48,P48,S48)=0,"",AVERAGE(D48,G48,J48,M48,P48,S48))</f>
        <v/>
      </c>
      <c r="V48" s="19">
        <f>IF(COUNT(C48,F48,I48,L48,O48,R48)=0,"",SUM(C48,F48,I48,L48,O48,R48))</f>
        <v/>
      </c>
    </row>
    <row r="49">
      <c r="A49" s="20">
        <f>'Preencher pelo celular'!A272</f>
        <v/>
      </c>
      <c r="B49" s="21">
        <f>IF('Preencher pelo celular'!C272="","",'Preencher pelo celular'!C272)</f>
        <v/>
      </c>
      <c r="C49" s="21">
        <f>IF('Preencher pelo celular'!D272="","",'Preencher pelo celular'!D272)</f>
        <v/>
      </c>
      <c r="D49" s="21">
        <f>IF('Preencher pelo celular'!F272="","",'Preencher pelo celular'!F272)</f>
        <v/>
      </c>
      <c r="E49" s="21">
        <f>IF('Preencher pelo celular'!C273="","",'Preencher pelo celular'!C273)</f>
        <v/>
      </c>
      <c r="F49" s="21">
        <f>IF('Preencher pelo celular'!D273="","",'Preencher pelo celular'!D273)</f>
        <v/>
      </c>
      <c r="G49" s="21">
        <f>IF('Preencher pelo celular'!F273="","",'Preencher pelo celular'!F273)</f>
        <v/>
      </c>
      <c r="H49" s="21">
        <f>IF('Preencher pelo celular'!C274="","",'Preencher pelo celular'!C274)</f>
        <v/>
      </c>
      <c r="I49" s="21">
        <f>IF('Preencher pelo celular'!D274="","",'Preencher pelo celular'!D274)</f>
        <v/>
      </c>
      <c r="J49" s="21">
        <f>IF('Preencher pelo celular'!F274="","",'Preencher pelo celular'!F274)</f>
        <v/>
      </c>
      <c r="K49" s="21">
        <f>IF('Preencher pelo celular'!C275="","",'Preencher pelo celular'!C275)</f>
        <v/>
      </c>
      <c r="L49" s="21">
        <f>IF('Preencher pelo celular'!D275="","",'Preencher pelo celular'!D275)</f>
        <v/>
      </c>
      <c r="M49" s="21">
        <f>IF('Preencher pelo celular'!F275="","",'Preencher pelo celular'!F275)</f>
        <v/>
      </c>
      <c r="N49" s="21">
        <f>IF('Preencher pelo celular'!C276="","",'Preencher pelo celular'!C276)</f>
        <v/>
      </c>
      <c r="O49" s="21">
        <f>IF('Preencher pelo celular'!D276="","",'Preencher pelo celular'!D276)</f>
        <v/>
      </c>
      <c r="P49" s="21">
        <f>IF('Preencher pelo celular'!F276="","",'Preencher pelo celular'!F276)</f>
        <v/>
      </c>
      <c r="Q49" s="21">
        <f>IF('Preencher pelo celular'!C277="","",'Preencher pelo celular'!C277)</f>
        <v/>
      </c>
      <c r="R49" s="21">
        <f>IF('Preencher pelo celular'!D277="","",'Preencher pelo celular'!D277)</f>
        <v/>
      </c>
      <c r="S49" s="21">
        <f>IF('Preencher pelo celular'!F277="","",'Preencher pelo celular'!F277)</f>
        <v/>
      </c>
      <c r="T49" s="19">
        <f>IF(COUNT(B49,E49,H49,K49,N49,Q49)=0,"",AVERAGE(B49,E49,H49,K49,N49,Q49))</f>
        <v/>
      </c>
      <c r="U49" s="19">
        <f>IF(COUNT(D49,G49,J49,M49,P49,S49)=0,"",AVERAGE(D49,G49,J49,M49,P49,S49))</f>
        <v/>
      </c>
      <c r="V49" s="19">
        <f>IF(COUNT(C49,F49,I49,L49,O49,R49)=0,"",SUM(C49,F49,I49,L49,O49,R49))</f>
        <v/>
      </c>
    </row>
    <row r="50">
      <c r="A50" s="18">
        <f>'Preencher pelo celular'!A278</f>
        <v/>
      </c>
      <c r="B50" s="14">
        <f>IF('Preencher pelo celular'!C278="","",'Preencher pelo celular'!C278)</f>
        <v/>
      </c>
      <c r="C50" s="14">
        <f>IF('Preencher pelo celular'!D278="","",'Preencher pelo celular'!D278)</f>
        <v/>
      </c>
      <c r="D50" s="14">
        <f>IF('Preencher pelo celular'!F278="","",'Preencher pelo celular'!F278)</f>
        <v/>
      </c>
      <c r="E50" s="14">
        <f>IF('Preencher pelo celular'!C279="","",'Preencher pelo celular'!C279)</f>
        <v/>
      </c>
      <c r="F50" s="14">
        <f>IF('Preencher pelo celular'!D279="","",'Preencher pelo celular'!D279)</f>
        <v/>
      </c>
      <c r="G50" s="14">
        <f>IF('Preencher pelo celular'!F279="","",'Preencher pelo celular'!F279)</f>
        <v/>
      </c>
      <c r="H50" s="14">
        <f>IF('Preencher pelo celular'!C280="","",'Preencher pelo celular'!C280)</f>
        <v/>
      </c>
      <c r="I50" s="14">
        <f>IF('Preencher pelo celular'!D280="","",'Preencher pelo celular'!D280)</f>
        <v/>
      </c>
      <c r="J50" s="14">
        <f>IF('Preencher pelo celular'!F280="","",'Preencher pelo celular'!F280)</f>
        <v/>
      </c>
      <c r="K50" s="14">
        <f>IF('Preencher pelo celular'!C281="","",'Preencher pelo celular'!C281)</f>
        <v/>
      </c>
      <c r="L50" s="14">
        <f>IF('Preencher pelo celular'!D281="","",'Preencher pelo celular'!D281)</f>
        <v/>
      </c>
      <c r="M50" s="14">
        <f>IF('Preencher pelo celular'!F281="","",'Preencher pelo celular'!F281)</f>
        <v/>
      </c>
      <c r="N50" s="14">
        <f>IF('Preencher pelo celular'!C282="","",'Preencher pelo celular'!C282)</f>
        <v/>
      </c>
      <c r="O50" s="14">
        <f>IF('Preencher pelo celular'!D282="","",'Preencher pelo celular'!D282)</f>
        <v/>
      </c>
      <c r="P50" s="14">
        <f>IF('Preencher pelo celular'!F282="","",'Preencher pelo celular'!F282)</f>
        <v/>
      </c>
      <c r="Q50" s="14">
        <f>IF('Preencher pelo celular'!C283="","",'Preencher pelo celular'!C283)</f>
        <v/>
      </c>
      <c r="R50" s="14">
        <f>IF('Preencher pelo celular'!D283="","",'Preencher pelo celular'!D283)</f>
        <v/>
      </c>
      <c r="S50" s="14">
        <f>IF('Preencher pelo celular'!F283="","",'Preencher pelo celular'!F283)</f>
        <v/>
      </c>
      <c r="T50" s="19">
        <f>IF(COUNT(B50,E50,H50,K50,N50,Q50)=0,"",AVERAGE(B50,E50,H50,K50,N50,Q50))</f>
        <v/>
      </c>
      <c r="U50" s="19">
        <f>IF(COUNT(D50,G50,J50,M50,P50,S50)=0,"",AVERAGE(D50,G50,J50,M50,P50,S50))</f>
        <v/>
      </c>
      <c r="V50" s="19">
        <f>IF(COUNT(C50,F50,I50,L50,O50,R50)=0,"",SUM(C50,F50,I50,L50,O50,R50))</f>
        <v/>
      </c>
    </row>
    <row r="51">
      <c r="A51" s="20">
        <f>'Preencher pelo celular'!A284</f>
        <v/>
      </c>
      <c r="B51" s="21">
        <f>IF('Preencher pelo celular'!C284="","",'Preencher pelo celular'!C284)</f>
        <v/>
      </c>
      <c r="C51" s="21">
        <f>IF('Preencher pelo celular'!D284="","",'Preencher pelo celular'!D284)</f>
        <v/>
      </c>
      <c r="D51" s="21">
        <f>IF('Preencher pelo celular'!F284="","",'Preencher pelo celular'!F284)</f>
        <v/>
      </c>
      <c r="E51" s="21">
        <f>IF('Preencher pelo celular'!C285="","",'Preencher pelo celular'!C285)</f>
        <v/>
      </c>
      <c r="F51" s="21">
        <f>IF('Preencher pelo celular'!D285="","",'Preencher pelo celular'!D285)</f>
        <v/>
      </c>
      <c r="G51" s="21">
        <f>IF('Preencher pelo celular'!F285="","",'Preencher pelo celular'!F285)</f>
        <v/>
      </c>
      <c r="H51" s="21">
        <f>IF('Preencher pelo celular'!C286="","",'Preencher pelo celular'!C286)</f>
        <v/>
      </c>
      <c r="I51" s="21">
        <f>IF('Preencher pelo celular'!D286="","",'Preencher pelo celular'!D286)</f>
        <v/>
      </c>
      <c r="J51" s="21">
        <f>IF('Preencher pelo celular'!F286="","",'Preencher pelo celular'!F286)</f>
        <v/>
      </c>
      <c r="K51" s="21">
        <f>IF('Preencher pelo celular'!C287="","",'Preencher pelo celular'!C287)</f>
        <v/>
      </c>
      <c r="L51" s="21">
        <f>IF('Preencher pelo celular'!D287="","",'Preencher pelo celular'!D287)</f>
        <v/>
      </c>
      <c r="M51" s="21">
        <f>IF('Preencher pelo celular'!F287="","",'Preencher pelo celular'!F287)</f>
        <v/>
      </c>
      <c r="N51" s="21">
        <f>IF('Preencher pelo celular'!C288="","",'Preencher pelo celular'!C288)</f>
        <v/>
      </c>
      <c r="O51" s="21">
        <f>IF('Preencher pelo celular'!D288="","",'Preencher pelo celular'!D288)</f>
        <v/>
      </c>
      <c r="P51" s="21">
        <f>IF('Preencher pelo celular'!F288="","",'Preencher pelo celular'!F288)</f>
        <v/>
      </c>
      <c r="Q51" s="21">
        <f>IF('Preencher pelo celular'!C289="","",'Preencher pelo celular'!C289)</f>
        <v/>
      </c>
      <c r="R51" s="21">
        <f>IF('Preencher pelo celular'!D289="","",'Preencher pelo celular'!D289)</f>
        <v/>
      </c>
      <c r="S51" s="21">
        <f>IF('Preencher pelo celular'!F289="","",'Preencher pelo celular'!F289)</f>
        <v/>
      </c>
      <c r="T51" s="19">
        <f>IF(COUNT(B51,E51,H51,K51,N51,Q51)=0,"",AVERAGE(B51,E51,H51,K51,N51,Q51))</f>
        <v/>
      </c>
      <c r="U51" s="19">
        <f>IF(COUNT(D51,G51,J51,M51,P51,S51)=0,"",AVERAGE(D51,G51,J51,M51,P51,S51))</f>
        <v/>
      </c>
      <c r="V51" s="19">
        <f>IF(COUNT(C51,F51,I51,L51,O51,R51)=0,"",SUM(C51,F51,I51,L51,O51,R51))</f>
        <v/>
      </c>
    </row>
    <row r="52">
      <c r="A52" s="18">
        <f>'Preencher pelo celular'!A290</f>
        <v/>
      </c>
      <c r="B52" s="14">
        <f>IF('Preencher pelo celular'!C290="","",'Preencher pelo celular'!C290)</f>
        <v/>
      </c>
      <c r="C52" s="14">
        <f>IF('Preencher pelo celular'!D290="","",'Preencher pelo celular'!D290)</f>
        <v/>
      </c>
      <c r="D52" s="14">
        <f>IF('Preencher pelo celular'!F290="","",'Preencher pelo celular'!F290)</f>
        <v/>
      </c>
      <c r="E52" s="14">
        <f>IF('Preencher pelo celular'!C291="","",'Preencher pelo celular'!C291)</f>
        <v/>
      </c>
      <c r="F52" s="14">
        <f>IF('Preencher pelo celular'!D291="","",'Preencher pelo celular'!D291)</f>
        <v/>
      </c>
      <c r="G52" s="14">
        <f>IF('Preencher pelo celular'!F291="","",'Preencher pelo celular'!F291)</f>
        <v/>
      </c>
      <c r="H52" s="14">
        <f>IF('Preencher pelo celular'!C292="","",'Preencher pelo celular'!C292)</f>
        <v/>
      </c>
      <c r="I52" s="14">
        <f>IF('Preencher pelo celular'!D292="","",'Preencher pelo celular'!D292)</f>
        <v/>
      </c>
      <c r="J52" s="14">
        <f>IF('Preencher pelo celular'!F292="","",'Preencher pelo celular'!F292)</f>
        <v/>
      </c>
      <c r="K52" s="14">
        <f>IF('Preencher pelo celular'!C293="","",'Preencher pelo celular'!C293)</f>
        <v/>
      </c>
      <c r="L52" s="14">
        <f>IF('Preencher pelo celular'!D293="","",'Preencher pelo celular'!D293)</f>
        <v/>
      </c>
      <c r="M52" s="14">
        <f>IF('Preencher pelo celular'!F293="","",'Preencher pelo celular'!F293)</f>
        <v/>
      </c>
      <c r="N52" s="14">
        <f>IF('Preencher pelo celular'!C294="","",'Preencher pelo celular'!C294)</f>
        <v/>
      </c>
      <c r="O52" s="14">
        <f>IF('Preencher pelo celular'!D294="","",'Preencher pelo celular'!D294)</f>
        <v/>
      </c>
      <c r="P52" s="14">
        <f>IF('Preencher pelo celular'!F294="","",'Preencher pelo celular'!F294)</f>
        <v/>
      </c>
      <c r="Q52" s="14">
        <f>IF('Preencher pelo celular'!C295="","",'Preencher pelo celular'!C295)</f>
        <v/>
      </c>
      <c r="R52" s="14">
        <f>IF('Preencher pelo celular'!D295="","",'Preencher pelo celular'!D295)</f>
        <v/>
      </c>
      <c r="S52" s="14">
        <f>IF('Preencher pelo celular'!F295="","",'Preencher pelo celular'!F295)</f>
        <v/>
      </c>
      <c r="T52" s="19">
        <f>IF(COUNT(B52,E52,H52,K52,N52,Q52)=0,"",AVERAGE(B52,E52,H52,K52,N52,Q52))</f>
        <v/>
      </c>
      <c r="U52" s="19">
        <f>IF(COUNT(D52,G52,J52,M52,P52,S52)=0,"",AVERAGE(D52,G52,J52,M52,P52,S52))</f>
        <v/>
      </c>
      <c r="V52" s="19">
        <f>IF(COUNT(C52,F52,I52,L52,O52,R52)=0,"",SUM(C52,F52,I52,L52,O52,R52))</f>
        <v/>
      </c>
    </row>
    <row r="53">
      <c r="A53" s="20">
        <f>'Preencher pelo celular'!A296</f>
        <v/>
      </c>
      <c r="B53" s="21">
        <f>IF('Preencher pelo celular'!C296="","",'Preencher pelo celular'!C296)</f>
        <v/>
      </c>
      <c r="C53" s="21">
        <f>IF('Preencher pelo celular'!D296="","",'Preencher pelo celular'!D296)</f>
        <v/>
      </c>
      <c r="D53" s="21">
        <f>IF('Preencher pelo celular'!F296="","",'Preencher pelo celular'!F296)</f>
        <v/>
      </c>
      <c r="E53" s="21">
        <f>IF('Preencher pelo celular'!C297="","",'Preencher pelo celular'!C297)</f>
        <v/>
      </c>
      <c r="F53" s="21">
        <f>IF('Preencher pelo celular'!D297="","",'Preencher pelo celular'!D297)</f>
        <v/>
      </c>
      <c r="G53" s="21">
        <f>IF('Preencher pelo celular'!F297="","",'Preencher pelo celular'!F297)</f>
        <v/>
      </c>
      <c r="H53" s="21">
        <f>IF('Preencher pelo celular'!C298="","",'Preencher pelo celular'!C298)</f>
        <v/>
      </c>
      <c r="I53" s="21">
        <f>IF('Preencher pelo celular'!D298="","",'Preencher pelo celular'!D298)</f>
        <v/>
      </c>
      <c r="J53" s="21">
        <f>IF('Preencher pelo celular'!F298="","",'Preencher pelo celular'!F298)</f>
        <v/>
      </c>
      <c r="K53" s="21">
        <f>IF('Preencher pelo celular'!C299="","",'Preencher pelo celular'!C299)</f>
        <v/>
      </c>
      <c r="L53" s="21">
        <f>IF('Preencher pelo celular'!D299="","",'Preencher pelo celular'!D299)</f>
        <v/>
      </c>
      <c r="M53" s="21">
        <f>IF('Preencher pelo celular'!F299="","",'Preencher pelo celular'!F299)</f>
        <v/>
      </c>
      <c r="N53" s="21">
        <f>IF('Preencher pelo celular'!C300="","",'Preencher pelo celular'!C300)</f>
        <v/>
      </c>
      <c r="O53" s="21">
        <f>IF('Preencher pelo celular'!D300="","",'Preencher pelo celular'!D300)</f>
        <v/>
      </c>
      <c r="P53" s="21">
        <f>IF('Preencher pelo celular'!F300="","",'Preencher pelo celular'!F300)</f>
        <v/>
      </c>
      <c r="Q53" s="21">
        <f>IF('Preencher pelo celular'!C301="","",'Preencher pelo celular'!C301)</f>
        <v/>
      </c>
      <c r="R53" s="21">
        <f>IF('Preencher pelo celular'!D301="","",'Preencher pelo celular'!D301)</f>
        <v/>
      </c>
      <c r="S53" s="21">
        <f>IF('Preencher pelo celular'!F301="","",'Preencher pelo celular'!F301)</f>
        <v/>
      </c>
      <c r="T53" s="19">
        <f>IF(COUNT(B53,E53,H53,K53,N53,Q53)=0,"",AVERAGE(B53,E53,H53,K53,N53,Q53))</f>
        <v/>
      </c>
      <c r="U53" s="19">
        <f>IF(COUNT(D53,G53,J53,M53,P53,S53)=0,"",AVERAGE(D53,G53,J53,M53,P53,S53))</f>
        <v/>
      </c>
      <c r="V53" s="19">
        <f>IF(COUNT(C53,F53,I53,L53,O53,R53)=0,"",SUM(C53,F53,I53,L53,O53,R53))</f>
        <v/>
      </c>
    </row>
    <row r="54">
      <c r="A54" s="18">
        <f>'Preencher pelo celular'!A302</f>
        <v/>
      </c>
      <c r="B54" s="14">
        <f>IF('Preencher pelo celular'!C302="","",'Preencher pelo celular'!C302)</f>
        <v/>
      </c>
      <c r="C54" s="14">
        <f>IF('Preencher pelo celular'!D302="","",'Preencher pelo celular'!D302)</f>
        <v/>
      </c>
      <c r="D54" s="14">
        <f>IF('Preencher pelo celular'!F302="","",'Preencher pelo celular'!F302)</f>
        <v/>
      </c>
      <c r="E54" s="14">
        <f>IF('Preencher pelo celular'!C303="","",'Preencher pelo celular'!C303)</f>
        <v/>
      </c>
      <c r="F54" s="14">
        <f>IF('Preencher pelo celular'!D303="","",'Preencher pelo celular'!D303)</f>
        <v/>
      </c>
      <c r="G54" s="14">
        <f>IF('Preencher pelo celular'!F303="","",'Preencher pelo celular'!F303)</f>
        <v/>
      </c>
      <c r="H54" s="14">
        <f>IF('Preencher pelo celular'!C304="","",'Preencher pelo celular'!C304)</f>
        <v/>
      </c>
      <c r="I54" s="14">
        <f>IF('Preencher pelo celular'!D304="","",'Preencher pelo celular'!D304)</f>
        <v/>
      </c>
      <c r="J54" s="14">
        <f>IF('Preencher pelo celular'!F304="","",'Preencher pelo celular'!F304)</f>
        <v/>
      </c>
      <c r="K54" s="14">
        <f>IF('Preencher pelo celular'!C305="","",'Preencher pelo celular'!C305)</f>
        <v/>
      </c>
      <c r="L54" s="14">
        <f>IF('Preencher pelo celular'!D305="","",'Preencher pelo celular'!D305)</f>
        <v/>
      </c>
      <c r="M54" s="14">
        <f>IF('Preencher pelo celular'!F305="","",'Preencher pelo celular'!F305)</f>
        <v/>
      </c>
      <c r="N54" s="14">
        <f>IF('Preencher pelo celular'!C306="","",'Preencher pelo celular'!C306)</f>
        <v/>
      </c>
      <c r="O54" s="14">
        <f>IF('Preencher pelo celular'!D306="","",'Preencher pelo celular'!D306)</f>
        <v/>
      </c>
      <c r="P54" s="14">
        <f>IF('Preencher pelo celular'!F306="","",'Preencher pelo celular'!F306)</f>
        <v/>
      </c>
      <c r="Q54" s="14">
        <f>IF('Preencher pelo celular'!C307="","",'Preencher pelo celular'!C307)</f>
        <v/>
      </c>
      <c r="R54" s="14">
        <f>IF('Preencher pelo celular'!D307="","",'Preencher pelo celular'!D307)</f>
        <v/>
      </c>
      <c r="S54" s="14">
        <f>IF('Preencher pelo celular'!F307="","",'Preencher pelo celular'!F307)</f>
        <v/>
      </c>
      <c r="T54" s="19">
        <f>IF(COUNT(B54,E54,H54,K54,N54,Q54)=0,"",AVERAGE(B54,E54,H54,K54,N54,Q54))</f>
        <v/>
      </c>
      <c r="U54" s="19">
        <f>IF(COUNT(D54,G54,J54,M54,P54,S54)=0,"",AVERAGE(D54,G54,J54,M54,P54,S54))</f>
        <v/>
      </c>
      <c r="V54" s="19">
        <f>IF(COUNT(C54,F54,I54,L54,O54,R54)=0,"",SUM(C54,F54,I54,L54,O54,R54))</f>
        <v/>
      </c>
    </row>
    <row r="55">
      <c r="A55" s="20">
        <f>'Preencher pelo celular'!A308</f>
        <v/>
      </c>
      <c r="B55" s="21">
        <f>IF('Preencher pelo celular'!C308="","",'Preencher pelo celular'!C308)</f>
        <v/>
      </c>
      <c r="C55" s="21">
        <f>IF('Preencher pelo celular'!D308="","",'Preencher pelo celular'!D308)</f>
        <v/>
      </c>
      <c r="D55" s="21">
        <f>IF('Preencher pelo celular'!F308="","",'Preencher pelo celular'!F308)</f>
        <v/>
      </c>
      <c r="E55" s="21">
        <f>IF('Preencher pelo celular'!C309="","",'Preencher pelo celular'!C309)</f>
        <v/>
      </c>
      <c r="F55" s="21">
        <f>IF('Preencher pelo celular'!D309="","",'Preencher pelo celular'!D309)</f>
        <v/>
      </c>
      <c r="G55" s="21">
        <f>IF('Preencher pelo celular'!F309="","",'Preencher pelo celular'!F309)</f>
        <v/>
      </c>
      <c r="H55" s="21">
        <f>IF('Preencher pelo celular'!C310="","",'Preencher pelo celular'!C310)</f>
        <v/>
      </c>
      <c r="I55" s="21">
        <f>IF('Preencher pelo celular'!D310="","",'Preencher pelo celular'!D310)</f>
        <v/>
      </c>
      <c r="J55" s="21">
        <f>IF('Preencher pelo celular'!F310="","",'Preencher pelo celular'!F310)</f>
        <v/>
      </c>
      <c r="K55" s="21">
        <f>IF('Preencher pelo celular'!C311="","",'Preencher pelo celular'!C311)</f>
        <v/>
      </c>
      <c r="L55" s="21">
        <f>IF('Preencher pelo celular'!D311="","",'Preencher pelo celular'!D311)</f>
        <v/>
      </c>
      <c r="M55" s="21">
        <f>IF('Preencher pelo celular'!F311="","",'Preencher pelo celular'!F311)</f>
        <v/>
      </c>
      <c r="N55" s="21">
        <f>IF('Preencher pelo celular'!C312="","",'Preencher pelo celular'!C312)</f>
        <v/>
      </c>
      <c r="O55" s="21">
        <f>IF('Preencher pelo celular'!D312="","",'Preencher pelo celular'!D312)</f>
        <v/>
      </c>
      <c r="P55" s="21">
        <f>IF('Preencher pelo celular'!F312="","",'Preencher pelo celular'!F312)</f>
        <v/>
      </c>
      <c r="Q55" s="21">
        <f>IF('Preencher pelo celular'!C313="","",'Preencher pelo celular'!C313)</f>
        <v/>
      </c>
      <c r="R55" s="21">
        <f>IF('Preencher pelo celular'!D313="","",'Preencher pelo celular'!D313)</f>
        <v/>
      </c>
      <c r="S55" s="21">
        <f>IF('Preencher pelo celular'!F313="","",'Preencher pelo celular'!F313)</f>
        <v/>
      </c>
      <c r="T55" s="19">
        <f>IF(COUNT(B55,E55,H55,K55,N55,Q55)=0,"",AVERAGE(B55,E55,H55,K55,N55,Q55))</f>
        <v/>
      </c>
      <c r="U55" s="19">
        <f>IF(COUNT(D55,G55,J55,M55,P55,S55)=0,"",AVERAGE(D55,G55,J55,M55,P55,S55))</f>
        <v/>
      </c>
      <c r="V55" s="19">
        <f>IF(COUNT(C55,F55,I55,L55,O55,R55)=0,"",SUM(C55,F55,I55,L55,O55,R55))</f>
        <v/>
      </c>
    </row>
    <row r="56">
      <c r="A56" s="18">
        <f>'Preencher pelo celular'!A314</f>
        <v/>
      </c>
      <c r="B56" s="14">
        <f>IF('Preencher pelo celular'!C314="","",'Preencher pelo celular'!C314)</f>
        <v/>
      </c>
      <c r="C56" s="14">
        <f>IF('Preencher pelo celular'!D314="","",'Preencher pelo celular'!D314)</f>
        <v/>
      </c>
      <c r="D56" s="14">
        <f>IF('Preencher pelo celular'!F314="","",'Preencher pelo celular'!F314)</f>
        <v/>
      </c>
      <c r="E56" s="14">
        <f>IF('Preencher pelo celular'!C315="","",'Preencher pelo celular'!C315)</f>
        <v/>
      </c>
      <c r="F56" s="14">
        <f>IF('Preencher pelo celular'!D315="","",'Preencher pelo celular'!D315)</f>
        <v/>
      </c>
      <c r="G56" s="14">
        <f>IF('Preencher pelo celular'!F315="","",'Preencher pelo celular'!F315)</f>
        <v/>
      </c>
      <c r="H56" s="14">
        <f>IF('Preencher pelo celular'!C316="","",'Preencher pelo celular'!C316)</f>
        <v/>
      </c>
      <c r="I56" s="14">
        <f>IF('Preencher pelo celular'!D316="","",'Preencher pelo celular'!D316)</f>
        <v/>
      </c>
      <c r="J56" s="14">
        <f>IF('Preencher pelo celular'!F316="","",'Preencher pelo celular'!F316)</f>
        <v/>
      </c>
      <c r="K56" s="14">
        <f>IF('Preencher pelo celular'!C317="","",'Preencher pelo celular'!C317)</f>
        <v/>
      </c>
      <c r="L56" s="14">
        <f>IF('Preencher pelo celular'!D317="","",'Preencher pelo celular'!D317)</f>
        <v/>
      </c>
      <c r="M56" s="14">
        <f>IF('Preencher pelo celular'!F317="","",'Preencher pelo celular'!F317)</f>
        <v/>
      </c>
      <c r="N56" s="14">
        <f>IF('Preencher pelo celular'!C318="","",'Preencher pelo celular'!C318)</f>
        <v/>
      </c>
      <c r="O56" s="14">
        <f>IF('Preencher pelo celular'!D318="","",'Preencher pelo celular'!D318)</f>
        <v/>
      </c>
      <c r="P56" s="14">
        <f>IF('Preencher pelo celular'!F318="","",'Preencher pelo celular'!F318)</f>
        <v/>
      </c>
      <c r="Q56" s="14">
        <f>IF('Preencher pelo celular'!C319="","",'Preencher pelo celular'!C319)</f>
        <v/>
      </c>
      <c r="R56" s="14">
        <f>IF('Preencher pelo celular'!D319="","",'Preencher pelo celular'!D319)</f>
        <v/>
      </c>
      <c r="S56" s="14">
        <f>IF('Preencher pelo celular'!F319="","",'Preencher pelo celular'!F319)</f>
        <v/>
      </c>
      <c r="T56" s="19">
        <f>IF(COUNT(B56,E56,H56,K56,N56,Q56)=0,"",AVERAGE(B56,E56,H56,K56,N56,Q56))</f>
        <v/>
      </c>
      <c r="U56" s="19">
        <f>IF(COUNT(D56,G56,J56,M56,P56,S56)=0,"",AVERAGE(D56,G56,J56,M56,P56,S56))</f>
        <v/>
      </c>
      <c r="V56" s="19">
        <f>IF(COUNT(C56,F56,I56,L56,O56,R56)=0,"",SUM(C56,F56,I56,L56,O56,R56))</f>
        <v/>
      </c>
    </row>
    <row r="57">
      <c r="A57" s="20">
        <f>'Preencher pelo celular'!A320</f>
        <v/>
      </c>
      <c r="B57" s="21">
        <f>IF('Preencher pelo celular'!C320="","",'Preencher pelo celular'!C320)</f>
        <v/>
      </c>
      <c r="C57" s="21">
        <f>IF('Preencher pelo celular'!D320="","",'Preencher pelo celular'!D320)</f>
        <v/>
      </c>
      <c r="D57" s="21">
        <f>IF('Preencher pelo celular'!F320="","",'Preencher pelo celular'!F320)</f>
        <v/>
      </c>
      <c r="E57" s="21">
        <f>IF('Preencher pelo celular'!C321="","",'Preencher pelo celular'!C321)</f>
        <v/>
      </c>
      <c r="F57" s="21">
        <f>IF('Preencher pelo celular'!D321="","",'Preencher pelo celular'!D321)</f>
        <v/>
      </c>
      <c r="G57" s="21">
        <f>IF('Preencher pelo celular'!F321="","",'Preencher pelo celular'!F321)</f>
        <v/>
      </c>
      <c r="H57" s="21">
        <f>IF('Preencher pelo celular'!C322="","",'Preencher pelo celular'!C322)</f>
        <v/>
      </c>
      <c r="I57" s="21">
        <f>IF('Preencher pelo celular'!D322="","",'Preencher pelo celular'!D322)</f>
        <v/>
      </c>
      <c r="J57" s="21">
        <f>IF('Preencher pelo celular'!F322="","",'Preencher pelo celular'!F322)</f>
        <v/>
      </c>
      <c r="K57" s="21">
        <f>IF('Preencher pelo celular'!C323="","",'Preencher pelo celular'!C323)</f>
        <v/>
      </c>
      <c r="L57" s="21">
        <f>IF('Preencher pelo celular'!D323="","",'Preencher pelo celular'!D323)</f>
        <v/>
      </c>
      <c r="M57" s="21">
        <f>IF('Preencher pelo celular'!F323="","",'Preencher pelo celular'!F323)</f>
        <v/>
      </c>
      <c r="N57" s="21">
        <f>IF('Preencher pelo celular'!C324="","",'Preencher pelo celular'!C324)</f>
        <v/>
      </c>
      <c r="O57" s="21">
        <f>IF('Preencher pelo celular'!D324="","",'Preencher pelo celular'!D324)</f>
        <v/>
      </c>
      <c r="P57" s="21">
        <f>IF('Preencher pelo celular'!F324="","",'Preencher pelo celular'!F324)</f>
        <v/>
      </c>
      <c r="Q57" s="21">
        <f>IF('Preencher pelo celular'!C325="","",'Preencher pelo celular'!C325)</f>
        <v/>
      </c>
      <c r="R57" s="21">
        <f>IF('Preencher pelo celular'!D325="","",'Preencher pelo celular'!D325)</f>
        <v/>
      </c>
      <c r="S57" s="21">
        <f>IF('Preencher pelo celular'!F325="","",'Preencher pelo celular'!F325)</f>
        <v/>
      </c>
      <c r="T57" s="19">
        <f>IF(COUNT(B57,E57,H57,K57,N57,Q57)=0,"",AVERAGE(B57,E57,H57,K57,N57,Q57))</f>
        <v/>
      </c>
      <c r="U57" s="19">
        <f>IF(COUNT(D57,G57,J57,M57,P57,S57)=0,"",AVERAGE(D57,G57,J57,M57,P57,S57))</f>
        <v/>
      </c>
      <c r="V57" s="19">
        <f>IF(COUNT(C57,F57,I57,L57,O57,R57)=0,"",SUM(C57,F57,I57,L57,O57,R57))</f>
        <v/>
      </c>
    </row>
    <row r="58">
      <c r="A58" s="18">
        <f>'Preencher pelo celular'!A326</f>
        <v/>
      </c>
      <c r="B58" s="14">
        <f>IF('Preencher pelo celular'!C326="","",'Preencher pelo celular'!C326)</f>
        <v/>
      </c>
      <c r="C58" s="14">
        <f>IF('Preencher pelo celular'!D326="","",'Preencher pelo celular'!D326)</f>
        <v/>
      </c>
      <c r="D58" s="14">
        <f>IF('Preencher pelo celular'!F326="","",'Preencher pelo celular'!F326)</f>
        <v/>
      </c>
      <c r="E58" s="14">
        <f>IF('Preencher pelo celular'!C327="","",'Preencher pelo celular'!C327)</f>
        <v/>
      </c>
      <c r="F58" s="14">
        <f>IF('Preencher pelo celular'!D327="","",'Preencher pelo celular'!D327)</f>
        <v/>
      </c>
      <c r="G58" s="14">
        <f>IF('Preencher pelo celular'!F327="","",'Preencher pelo celular'!F327)</f>
        <v/>
      </c>
      <c r="H58" s="14">
        <f>IF('Preencher pelo celular'!C328="","",'Preencher pelo celular'!C328)</f>
        <v/>
      </c>
      <c r="I58" s="14">
        <f>IF('Preencher pelo celular'!D328="","",'Preencher pelo celular'!D328)</f>
        <v/>
      </c>
      <c r="J58" s="14">
        <f>IF('Preencher pelo celular'!F328="","",'Preencher pelo celular'!F328)</f>
        <v/>
      </c>
      <c r="K58" s="14">
        <f>IF('Preencher pelo celular'!C329="","",'Preencher pelo celular'!C329)</f>
        <v/>
      </c>
      <c r="L58" s="14">
        <f>IF('Preencher pelo celular'!D329="","",'Preencher pelo celular'!D329)</f>
        <v/>
      </c>
      <c r="M58" s="14">
        <f>IF('Preencher pelo celular'!F329="","",'Preencher pelo celular'!F329)</f>
        <v/>
      </c>
      <c r="N58" s="14">
        <f>IF('Preencher pelo celular'!C330="","",'Preencher pelo celular'!C330)</f>
        <v/>
      </c>
      <c r="O58" s="14">
        <f>IF('Preencher pelo celular'!D330="","",'Preencher pelo celular'!D330)</f>
        <v/>
      </c>
      <c r="P58" s="14">
        <f>IF('Preencher pelo celular'!F330="","",'Preencher pelo celular'!F330)</f>
        <v/>
      </c>
      <c r="Q58" s="14">
        <f>IF('Preencher pelo celular'!C331="","",'Preencher pelo celular'!C331)</f>
        <v/>
      </c>
      <c r="R58" s="14">
        <f>IF('Preencher pelo celular'!D331="","",'Preencher pelo celular'!D331)</f>
        <v/>
      </c>
      <c r="S58" s="14">
        <f>IF('Preencher pelo celular'!F331="","",'Preencher pelo celular'!F331)</f>
        <v/>
      </c>
      <c r="T58" s="19">
        <f>IF(COUNT(B58,E58,H58,K58,N58,Q58)=0,"",AVERAGE(B58,E58,H58,K58,N58,Q58))</f>
        <v/>
      </c>
      <c r="U58" s="19">
        <f>IF(COUNT(D58,G58,J58,M58,P58,S58)=0,"",AVERAGE(D58,G58,J58,M58,P58,S58))</f>
        <v/>
      </c>
      <c r="V58" s="19">
        <f>IF(COUNT(C58,F58,I58,L58,O58,R58)=0,"",SUM(C58,F58,I58,L58,O58,R58))</f>
        <v/>
      </c>
    </row>
    <row r="59">
      <c r="A59" s="20">
        <f>'Preencher pelo celular'!A332</f>
        <v/>
      </c>
      <c r="B59" s="21">
        <f>IF('Preencher pelo celular'!C332="","",'Preencher pelo celular'!C332)</f>
        <v/>
      </c>
      <c r="C59" s="21">
        <f>IF('Preencher pelo celular'!D332="","",'Preencher pelo celular'!D332)</f>
        <v/>
      </c>
      <c r="D59" s="21">
        <f>IF('Preencher pelo celular'!F332="","",'Preencher pelo celular'!F332)</f>
        <v/>
      </c>
      <c r="E59" s="21">
        <f>IF('Preencher pelo celular'!C333="","",'Preencher pelo celular'!C333)</f>
        <v/>
      </c>
      <c r="F59" s="21">
        <f>IF('Preencher pelo celular'!D333="","",'Preencher pelo celular'!D333)</f>
        <v/>
      </c>
      <c r="G59" s="21">
        <f>IF('Preencher pelo celular'!F333="","",'Preencher pelo celular'!F333)</f>
        <v/>
      </c>
      <c r="H59" s="21">
        <f>IF('Preencher pelo celular'!C334="","",'Preencher pelo celular'!C334)</f>
        <v/>
      </c>
      <c r="I59" s="21">
        <f>IF('Preencher pelo celular'!D334="","",'Preencher pelo celular'!D334)</f>
        <v/>
      </c>
      <c r="J59" s="21">
        <f>IF('Preencher pelo celular'!F334="","",'Preencher pelo celular'!F334)</f>
        <v/>
      </c>
      <c r="K59" s="21">
        <f>IF('Preencher pelo celular'!C335="","",'Preencher pelo celular'!C335)</f>
        <v/>
      </c>
      <c r="L59" s="21">
        <f>IF('Preencher pelo celular'!D335="","",'Preencher pelo celular'!D335)</f>
        <v/>
      </c>
      <c r="M59" s="21">
        <f>IF('Preencher pelo celular'!F335="","",'Preencher pelo celular'!F335)</f>
        <v/>
      </c>
      <c r="N59" s="21">
        <f>IF('Preencher pelo celular'!C336="","",'Preencher pelo celular'!C336)</f>
        <v/>
      </c>
      <c r="O59" s="21">
        <f>IF('Preencher pelo celular'!D336="","",'Preencher pelo celular'!D336)</f>
        <v/>
      </c>
      <c r="P59" s="21">
        <f>IF('Preencher pelo celular'!F336="","",'Preencher pelo celular'!F336)</f>
        <v/>
      </c>
      <c r="Q59" s="21">
        <f>IF('Preencher pelo celular'!C337="","",'Preencher pelo celular'!C337)</f>
        <v/>
      </c>
      <c r="R59" s="21">
        <f>IF('Preencher pelo celular'!D337="","",'Preencher pelo celular'!D337)</f>
        <v/>
      </c>
      <c r="S59" s="21">
        <f>IF('Preencher pelo celular'!F337="","",'Preencher pelo celular'!F337)</f>
        <v/>
      </c>
      <c r="T59" s="19">
        <f>IF(COUNT(B59,E59,H59,K59,N59,Q59)=0,"",AVERAGE(B59,E59,H59,K59,N59,Q59))</f>
        <v/>
      </c>
      <c r="U59" s="19">
        <f>IF(COUNT(D59,G59,J59,M59,P59,S59)=0,"",AVERAGE(D59,G59,J59,M59,P59,S59))</f>
        <v/>
      </c>
      <c r="V59" s="19">
        <f>IF(COUNT(C59,F59,I59,L59,O59,R59)=0,"",SUM(C59,F59,I59,L59,O59,R59))</f>
        <v/>
      </c>
    </row>
    <row r="60">
      <c r="A60" s="18">
        <f>'Preencher pelo celular'!A338</f>
        <v/>
      </c>
      <c r="B60" s="14">
        <f>IF('Preencher pelo celular'!C338="","",'Preencher pelo celular'!C338)</f>
        <v/>
      </c>
      <c r="C60" s="14">
        <f>IF('Preencher pelo celular'!D338="","",'Preencher pelo celular'!D338)</f>
        <v/>
      </c>
      <c r="D60" s="14">
        <f>IF('Preencher pelo celular'!F338="","",'Preencher pelo celular'!F338)</f>
        <v/>
      </c>
      <c r="E60" s="14">
        <f>IF('Preencher pelo celular'!C339="","",'Preencher pelo celular'!C339)</f>
        <v/>
      </c>
      <c r="F60" s="14">
        <f>IF('Preencher pelo celular'!D339="","",'Preencher pelo celular'!D339)</f>
        <v/>
      </c>
      <c r="G60" s="14">
        <f>IF('Preencher pelo celular'!F339="","",'Preencher pelo celular'!F339)</f>
        <v/>
      </c>
      <c r="H60" s="14">
        <f>IF('Preencher pelo celular'!C340="","",'Preencher pelo celular'!C340)</f>
        <v/>
      </c>
      <c r="I60" s="14">
        <f>IF('Preencher pelo celular'!D340="","",'Preencher pelo celular'!D340)</f>
        <v/>
      </c>
      <c r="J60" s="14">
        <f>IF('Preencher pelo celular'!F340="","",'Preencher pelo celular'!F340)</f>
        <v/>
      </c>
      <c r="K60" s="14">
        <f>IF('Preencher pelo celular'!C341="","",'Preencher pelo celular'!C341)</f>
        <v/>
      </c>
      <c r="L60" s="14">
        <f>IF('Preencher pelo celular'!D341="","",'Preencher pelo celular'!D341)</f>
        <v/>
      </c>
      <c r="M60" s="14">
        <f>IF('Preencher pelo celular'!F341="","",'Preencher pelo celular'!F341)</f>
        <v/>
      </c>
      <c r="N60" s="14">
        <f>IF('Preencher pelo celular'!C342="","",'Preencher pelo celular'!C342)</f>
        <v/>
      </c>
      <c r="O60" s="14">
        <f>IF('Preencher pelo celular'!D342="","",'Preencher pelo celular'!D342)</f>
        <v/>
      </c>
      <c r="P60" s="14">
        <f>IF('Preencher pelo celular'!F342="","",'Preencher pelo celular'!F342)</f>
        <v/>
      </c>
      <c r="Q60" s="14">
        <f>IF('Preencher pelo celular'!C343="","",'Preencher pelo celular'!C343)</f>
        <v/>
      </c>
      <c r="R60" s="14">
        <f>IF('Preencher pelo celular'!D343="","",'Preencher pelo celular'!D343)</f>
        <v/>
      </c>
      <c r="S60" s="14">
        <f>IF('Preencher pelo celular'!F343="","",'Preencher pelo celular'!F343)</f>
        <v/>
      </c>
      <c r="T60" s="19">
        <f>IF(COUNT(B60,E60,H60,K60,N60,Q60)=0,"",AVERAGE(B60,E60,H60,K60,N60,Q60))</f>
        <v/>
      </c>
      <c r="U60" s="19">
        <f>IF(COUNT(D60,G60,J60,M60,P60,S60)=0,"",AVERAGE(D60,G60,J60,M60,P60,S60))</f>
        <v/>
      </c>
      <c r="V60" s="19">
        <f>IF(COUNT(C60,F60,I60,L60,O60,R60)=0,"",SUM(C60,F60,I60,L60,O60,R60))</f>
        <v/>
      </c>
    </row>
    <row r="61">
      <c r="A61" s="20">
        <f>'Preencher pelo celular'!A344</f>
        <v/>
      </c>
      <c r="B61" s="21">
        <f>IF('Preencher pelo celular'!C344="","",'Preencher pelo celular'!C344)</f>
        <v/>
      </c>
      <c r="C61" s="21">
        <f>IF('Preencher pelo celular'!D344="","",'Preencher pelo celular'!D344)</f>
        <v/>
      </c>
      <c r="D61" s="21">
        <f>IF('Preencher pelo celular'!F344="","",'Preencher pelo celular'!F344)</f>
        <v/>
      </c>
      <c r="E61" s="21">
        <f>IF('Preencher pelo celular'!C345="","",'Preencher pelo celular'!C345)</f>
        <v/>
      </c>
      <c r="F61" s="21">
        <f>IF('Preencher pelo celular'!D345="","",'Preencher pelo celular'!D345)</f>
        <v/>
      </c>
      <c r="G61" s="21">
        <f>IF('Preencher pelo celular'!F345="","",'Preencher pelo celular'!F345)</f>
        <v/>
      </c>
      <c r="H61" s="21">
        <f>IF('Preencher pelo celular'!C346="","",'Preencher pelo celular'!C346)</f>
        <v/>
      </c>
      <c r="I61" s="21">
        <f>IF('Preencher pelo celular'!D346="","",'Preencher pelo celular'!D346)</f>
        <v/>
      </c>
      <c r="J61" s="21">
        <f>IF('Preencher pelo celular'!F346="","",'Preencher pelo celular'!F346)</f>
        <v/>
      </c>
      <c r="K61" s="21">
        <f>IF('Preencher pelo celular'!C347="","",'Preencher pelo celular'!C347)</f>
        <v/>
      </c>
      <c r="L61" s="21">
        <f>IF('Preencher pelo celular'!D347="","",'Preencher pelo celular'!D347)</f>
        <v/>
      </c>
      <c r="M61" s="21">
        <f>IF('Preencher pelo celular'!F347="","",'Preencher pelo celular'!F347)</f>
        <v/>
      </c>
      <c r="N61" s="21">
        <f>IF('Preencher pelo celular'!C348="","",'Preencher pelo celular'!C348)</f>
        <v/>
      </c>
      <c r="O61" s="21">
        <f>IF('Preencher pelo celular'!D348="","",'Preencher pelo celular'!D348)</f>
        <v/>
      </c>
      <c r="P61" s="21">
        <f>IF('Preencher pelo celular'!F348="","",'Preencher pelo celular'!F348)</f>
        <v/>
      </c>
      <c r="Q61" s="21">
        <f>IF('Preencher pelo celular'!C349="","",'Preencher pelo celular'!C349)</f>
        <v/>
      </c>
      <c r="R61" s="21">
        <f>IF('Preencher pelo celular'!D349="","",'Preencher pelo celular'!D349)</f>
        <v/>
      </c>
      <c r="S61" s="21">
        <f>IF('Preencher pelo celular'!F349="","",'Preencher pelo celular'!F349)</f>
        <v/>
      </c>
      <c r="T61" s="19">
        <f>IF(COUNT(B61,E61,H61,K61,N61,Q61)=0,"",AVERAGE(B61,E61,H61,K61,N61,Q61))</f>
        <v/>
      </c>
      <c r="U61" s="19">
        <f>IF(COUNT(D61,G61,J61,M61,P61,S61)=0,"",AVERAGE(D61,G61,J61,M61,P61,S61))</f>
        <v/>
      </c>
      <c r="V61" s="19">
        <f>IF(COUNT(C61,F61,I61,L61,O61,R61)=0,"",SUM(C61,F61,I61,L61,O61,R61))</f>
        <v/>
      </c>
    </row>
    <row r="62">
      <c r="A62" s="18">
        <f>'Preencher pelo celular'!A350</f>
        <v/>
      </c>
      <c r="B62" s="14">
        <f>IF('Preencher pelo celular'!C350="","",'Preencher pelo celular'!C350)</f>
        <v/>
      </c>
      <c r="C62" s="14">
        <f>IF('Preencher pelo celular'!D350="","",'Preencher pelo celular'!D350)</f>
        <v/>
      </c>
      <c r="D62" s="14">
        <f>IF('Preencher pelo celular'!F350="","",'Preencher pelo celular'!F350)</f>
        <v/>
      </c>
      <c r="E62" s="14">
        <f>IF('Preencher pelo celular'!C351="","",'Preencher pelo celular'!C351)</f>
        <v/>
      </c>
      <c r="F62" s="14">
        <f>IF('Preencher pelo celular'!D351="","",'Preencher pelo celular'!D351)</f>
        <v/>
      </c>
      <c r="G62" s="14">
        <f>IF('Preencher pelo celular'!F351="","",'Preencher pelo celular'!F351)</f>
        <v/>
      </c>
      <c r="H62" s="14">
        <f>IF('Preencher pelo celular'!C352="","",'Preencher pelo celular'!C352)</f>
        <v/>
      </c>
      <c r="I62" s="14">
        <f>IF('Preencher pelo celular'!D352="","",'Preencher pelo celular'!D352)</f>
        <v/>
      </c>
      <c r="J62" s="14">
        <f>IF('Preencher pelo celular'!F352="","",'Preencher pelo celular'!F352)</f>
        <v/>
      </c>
      <c r="K62" s="14">
        <f>IF('Preencher pelo celular'!C353="","",'Preencher pelo celular'!C353)</f>
        <v/>
      </c>
      <c r="L62" s="14">
        <f>IF('Preencher pelo celular'!D353="","",'Preencher pelo celular'!D353)</f>
        <v/>
      </c>
      <c r="M62" s="14">
        <f>IF('Preencher pelo celular'!F353="","",'Preencher pelo celular'!F353)</f>
        <v/>
      </c>
      <c r="N62" s="14">
        <f>IF('Preencher pelo celular'!C354="","",'Preencher pelo celular'!C354)</f>
        <v/>
      </c>
      <c r="O62" s="14">
        <f>IF('Preencher pelo celular'!D354="","",'Preencher pelo celular'!D354)</f>
        <v/>
      </c>
      <c r="P62" s="14">
        <f>IF('Preencher pelo celular'!F354="","",'Preencher pelo celular'!F354)</f>
        <v/>
      </c>
      <c r="Q62" s="14">
        <f>IF('Preencher pelo celular'!C355="","",'Preencher pelo celular'!C355)</f>
        <v/>
      </c>
      <c r="R62" s="14">
        <f>IF('Preencher pelo celular'!D355="","",'Preencher pelo celular'!D355)</f>
        <v/>
      </c>
      <c r="S62" s="14">
        <f>IF('Preencher pelo celular'!F355="","",'Preencher pelo celular'!F355)</f>
        <v/>
      </c>
      <c r="T62" s="19">
        <f>IF(COUNT(B62,E62,H62,K62,N62,Q62)=0,"",AVERAGE(B62,E62,H62,K62,N62,Q62))</f>
        <v/>
      </c>
      <c r="U62" s="19">
        <f>IF(COUNT(D62,G62,J62,M62,P62,S62)=0,"",AVERAGE(D62,G62,J62,M62,P62,S62))</f>
        <v/>
      </c>
      <c r="V62" s="19">
        <f>IF(COUNT(C62,F62,I62,L62,O62,R62)=0,"",SUM(C62,F62,I62,L62,O62,R62))</f>
        <v/>
      </c>
    </row>
    <row r="63">
      <c r="A63" s="20">
        <f>'Preencher pelo celular'!A356</f>
        <v/>
      </c>
      <c r="B63" s="21">
        <f>IF('Preencher pelo celular'!C356="","",'Preencher pelo celular'!C356)</f>
        <v/>
      </c>
      <c r="C63" s="21">
        <f>IF('Preencher pelo celular'!D356="","",'Preencher pelo celular'!D356)</f>
        <v/>
      </c>
      <c r="D63" s="21">
        <f>IF('Preencher pelo celular'!F356="","",'Preencher pelo celular'!F356)</f>
        <v/>
      </c>
      <c r="E63" s="21">
        <f>IF('Preencher pelo celular'!C357="","",'Preencher pelo celular'!C357)</f>
        <v/>
      </c>
      <c r="F63" s="21">
        <f>IF('Preencher pelo celular'!D357="","",'Preencher pelo celular'!D357)</f>
        <v/>
      </c>
      <c r="G63" s="21">
        <f>IF('Preencher pelo celular'!F357="","",'Preencher pelo celular'!F357)</f>
        <v/>
      </c>
      <c r="H63" s="21">
        <f>IF('Preencher pelo celular'!C358="","",'Preencher pelo celular'!C358)</f>
        <v/>
      </c>
      <c r="I63" s="21">
        <f>IF('Preencher pelo celular'!D358="","",'Preencher pelo celular'!D358)</f>
        <v/>
      </c>
      <c r="J63" s="21">
        <f>IF('Preencher pelo celular'!F358="","",'Preencher pelo celular'!F358)</f>
        <v/>
      </c>
      <c r="K63" s="21">
        <f>IF('Preencher pelo celular'!C359="","",'Preencher pelo celular'!C359)</f>
        <v/>
      </c>
      <c r="L63" s="21">
        <f>IF('Preencher pelo celular'!D359="","",'Preencher pelo celular'!D359)</f>
        <v/>
      </c>
      <c r="M63" s="21">
        <f>IF('Preencher pelo celular'!F359="","",'Preencher pelo celular'!F359)</f>
        <v/>
      </c>
      <c r="N63" s="21">
        <f>IF('Preencher pelo celular'!C360="","",'Preencher pelo celular'!C360)</f>
        <v/>
      </c>
      <c r="O63" s="21">
        <f>IF('Preencher pelo celular'!D360="","",'Preencher pelo celular'!D360)</f>
        <v/>
      </c>
      <c r="P63" s="21">
        <f>IF('Preencher pelo celular'!F360="","",'Preencher pelo celular'!F360)</f>
        <v/>
      </c>
      <c r="Q63" s="21">
        <f>IF('Preencher pelo celular'!C361="","",'Preencher pelo celular'!C361)</f>
        <v/>
      </c>
      <c r="R63" s="21">
        <f>IF('Preencher pelo celular'!D361="","",'Preencher pelo celular'!D361)</f>
        <v/>
      </c>
      <c r="S63" s="21">
        <f>IF('Preencher pelo celular'!F361="","",'Preencher pelo celular'!F361)</f>
        <v/>
      </c>
      <c r="T63" s="19">
        <f>IF(COUNT(B63,E63,H63,K63,N63,Q63)=0,"",AVERAGE(B63,E63,H63,K63,N63,Q63))</f>
        <v/>
      </c>
      <c r="U63" s="19">
        <f>IF(COUNT(D63,G63,J63,M63,P63,S63)=0,"",AVERAGE(D63,G63,J63,M63,P63,S63))</f>
        <v/>
      </c>
      <c r="V63" s="19">
        <f>IF(COUNT(C63,F63,I63,L63,O63,R63)=0,"",SUM(C63,F63,I63,L63,O63,R63))</f>
        <v/>
      </c>
    </row>
    <row r="64">
      <c r="A64" s="18">
        <f>'Preencher pelo celular'!A362</f>
        <v/>
      </c>
      <c r="B64" s="14">
        <f>IF('Preencher pelo celular'!C362="","",'Preencher pelo celular'!C362)</f>
        <v/>
      </c>
      <c r="C64" s="14">
        <f>IF('Preencher pelo celular'!D362="","",'Preencher pelo celular'!D362)</f>
        <v/>
      </c>
      <c r="D64" s="14">
        <f>IF('Preencher pelo celular'!F362="","",'Preencher pelo celular'!F362)</f>
        <v/>
      </c>
      <c r="E64" s="14">
        <f>IF('Preencher pelo celular'!C363="","",'Preencher pelo celular'!C363)</f>
        <v/>
      </c>
      <c r="F64" s="14">
        <f>IF('Preencher pelo celular'!D363="","",'Preencher pelo celular'!D363)</f>
        <v/>
      </c>
      <c r="G64" s="14">
        <f>IF('Preencher pelo celular'!F363="","",'Preencher pelo celular'!F363)</f>
        <v/>
      </c>
      <c r="H64" s="14">
        <f>IF('Preencher pelo celular'!C364="","",'Preencher pelo celular'!C364)</f>
        <v/>
      </c>
      <c r="I64" s="14">
        <f>IF('Preencher pelo celular'!D364="","",'Preencher pelo celular'!D364)</f>
        <v/>
      </c>
      <c r="J64" s="14">
        <f>IF('Preencher pelo celular'!F364="","",'Preencher pelo celular'!F364)</f>
        <v/>
      </c>
      <c r="K64" s="14">
        <f>IF('Preencher pelo celular'!C365="","",'Preencher pelo celular'!C365)</f>
        <v/>
      </c>
      <c r="L64" s="14">
        <f>IF('Preencher pelo celular'!D365="","",'Preencher pelo celular'!D365)</f>
        <v/>
      </c>
      <c r="M64" s="14">
        <f>IF('Preencher pelo celular'!F365="","",'Preencher pelo celular'!F365)</f>
        <v/>
      </c>
      <c r="N64" s="14">
        <f>IF('Preencher pelo celular'!C366="","",'Preencher pelo celular'!C366)</f>
        <v/>
      </c>
      <c r="O64" s="14">
        <f>IF('Preencher pelo celular'!D366="","",'Preencher pelo celular'!D366)</f>
        <v/>
      </c>
      <c r="P64" s="14">
        <f>IF('Preencher pelo celular'!F366="","",'Preencher pelo celular'!F366)</f>
        <v/>
      </c>
      <c r="Q64" s="14">
        <f>IF('Preencher pelo celular'!C367="","",'Preencher pelo celular'!C367)</f>
        <v/>
      </c>
      <c r="R64" s="14">
        <f>IF('Preencher pelo celular'!D367="","",'Preencher pelo celular'!D367)</f>
        <v/>
      </c>
      <c r="S64" s="14">
        <f>IF('Preencher pelo celular'!F367="","",'Preencher pelo celular'!F367)</f>
        <v/>
      </c>
      <c r="T64" s="19">
        <f>IF(COUNT(B64,E64,H64,K64,N64,Q64)=0,"",AVERAGE(B64,E64,H64,K64,N64,Q64))</f>
        <v/>
      </c>
      <c r="U64" s="19">
        <f>IF(COUNT(D64,G64,J64,M64,P64,S64)=0,"",AVERAGE(D64,G64,J64,M64,P64,S64))</f>
        <v/>
      </c>
      <c r="V64" s="19">
        <f>IF(COUNT(C64,F64,I64,L64,O64,R64)=0,"",SUM(C64,F64,I64,L64,O64,R64))</f>
        <v/>
      </c>
    </row>
    <row r="65">
      <c r="A65" s="20">
        <f>'Preencher pelo celular'!A368</f>
        <v/>
      </c>
      <c r="B65" s="21">
        <f>IF('Preencher pelo celular'!C368="","",'Preencher pelo celular'!C368)</f>
        <v/>
      </c>
      <c r="C65" s="21">
        <f>IF('Preencher pelo celular'!D368="","",'Preencher pelo celular'!D368)</f>
        <v/>
      </c>
      <c r="D65" s="21">
        <f>IF('Preencher pelo celular'!F368="","",'Preencher pelo celular'!F368)</f>
        <v/>
      </c>
      <c r="E65" s="21">
        <f>IF('Preencher pelo celular'!C369="","",'Preencher pelo celular'!C369)</f>
        <v/>
      </c>
      <c r="F65" s="21">
        <f>IF('Preencher pelo celular'!D369="","",'Preencher pelo celular'!D369)</f>
        <v/>
      </c>
      <c r="G65" s="21">
        <f>IF('Preencher pelo celular'!F369="","",'Preencher pelo celular'!F369)</f>
        <v/>
      </c>
      <c r="H65" s="21">
        <f>IF('Preencher pelo celular'!C370="","",'Preencher pelo celular'!C370)</f>
        <v/>
      </c>
      <c r="I65" s="21">
        <f>IF('Preencher pelo celular'!D370="","",'Preencher pelo celular'!D370)</f>
        <v/>
      </c>
      <c r="J65" s="21">
        <f>IF('Preencher pelo celular'!F370="","",'Preencher pelo celular'!F370)</f>
        <v/>
      </c>
      <c r="K65" s="21">
        <f>IF('Preencher pelo celular'!C371="","",'Preencher pelo celular'!C371)</f>
        <v/>
      </c>
      <c r="L65" s="21">
        <f>IF('Preencher pelo celular'!D371="","",'Preencher pelo celular'!D371)</f>
        <v/>
      </c>
      <c r="M65" s="21">
        <f>IF('Preencher pelo celular'!F371="","",'Preencher pelo celular'!F371)</f>
        <v/>
      </c>
      <c r="N65" s="21">
        <f>IF('Preencher pelo celular'!C372="","",'Preencher pelo celular'!C372)</f>
        <v/>
      </c>
      <c r="O65" s="21">
        <f>IF('Preencher pelo celular'!D372="","",'Preencher pelo celular'!D372)</f>
        <v/>
      </c>
      <c r="P65" s="21">
        <f>IF('Preencher pelo celular'!F372="","",'Preencher pelo celular'!F372)</f>
        <v/>
      </c>
      <c r="Q65" s="21">
        <f>IF('Preencher pelo celular'!C373="","",'Preencher pelo celular'!C373)</f>
        <v/>
      </c>
      <c r="R65" s="21">
        <f>IF('Preencher pelo celular'!D373="","",'Preencher pelo celular'!D373)</f>
        <v/>
      </c>
      <c r="S65" s="21">
        <f>IF('Preencher pelo celular'!F373="","",'Preencher pelo celular'!F373)</f>
        <v/>
      </c>
      <c r="T65" s="19">
        <f>IF(COUNT(B65,E65,H65,K65,N65,Q65)=0,"",AVERAGE(B65,E65,H65,K65,N65,Q65))</f>
        <v/>
      </c>
      <c r="U65" s="19">
        <f>IF(COUNT(D65,G65,J65,M65,P65,S65)=0,"",AVERAGE(D65,G65,J65,M65,P65,S65))</f>
        <v/>
      </c>
      <c r="V65" s="19">
        <f>IF(COUNT(C65,F65,I65,L65,O65,R65)=0,"",SUM(C65,F65,I65,L65,O65,R65))</f>
        <v/>
      </c>
    </row>
    <row r="66">
      <c r="A66" s="18">
        <f>'Preencher pelo celular'!A374</f>
        <v/>
      </c>
      <c r="B66" s="14">
        <f>IF('Preencher pelo celular'!C374="","",'Preencher pelo celular'!C374)</f>
        <v/>
      </c>
      <c r="C66" s="14">
        <f>IF('Preencher pelo celular'!D374="","",'Preencher pelo celular'!D374)</f>
        <v/>
      </c>
      <c r="D66" s="14">
        <f>IF('Preencher pelo celular'!F374="","",'Preencher pelo celular'!F374)</f>
        <v/>
      </c>
      <c r="E66" s="14">
        <f>IF('Preencher pelo celular'!C375="","",'Preencher pelo celular'!C375)</f>
        <v/>
      </c>
      <c r="F66" s="14">
        <f>IF('Preencher pelo celular'!D375="","",'Preencher pelo celular'!D375)</f>
        <v/>
      </c>
      <c r="G66" s="14">
        <f>IF('Preencher pelo celular'!F375="","",'Preencher pelo celular'!F375)</f>
        <v/>
      </c>
      <c r="H66" s="14">
        <f>IF('Preencher pelo celular'!C376="","",'Preencher pelo celular'!C376)</f>
        <v/>
      </c>
      <c r="I66" s="14">
        <f>IF('Preencher pelo celular'!D376="","",'Preencher pelo celular'!D376)</f>
        <v/>
      </c>
      <c r="J66" s="14">
        <f>IF('Preencher pelo celular'!F376="","",'Preencher pelo celular'!F376)</f>
        <v/>
      </c>
      <c r="K66" s="14">
        <f>IF('Preencher pelo celular'!C377="","",'Preencher pelo celular'!C377)</f>
        <v/>
      </c>
      <c r="L66" s="14">
        <f>IF('Preencher pelo celular'!D377="","",'Preencher pelo celular'!D377)</f>
        <v/>
      </c>
      <c r="M66" s="14">
        <f>IF('Preencher pelo celular'!F377="","",'Preencher pelo celular'!F377)</f>
        <v/>
      </c>
      <c r="N66" s="14">
        <f>IF('Preencher pelo celular'!C378="","",'Preencher pelo celular'!C378)</f>
        <v/>
      </c>
      <c r="O66" s="14">
        <f>IF('Preencher pelo celular'!D378="","",'Preencher pelo celular'!D378)</f>
        <v/>
      </c>
      <c r="P66" s="14">
        <f>IF('Preencher pelo celular'!F378="","",'Preencher pelo celular'!F378)</f>
        <v/>
      </c>
      <c r="Q66" s="14">
        <f>IF('Preencher pelo celular'!C379="","",'Preencher pelo celular'!C379)</f>
        <v/>
      </c>
      <c r="R66" s="14">
        <f>IF('Preencher pelo celular'!D379="","",'Preencher pelo celular'!D379)</f>
        <v/>
      </c>
      <c r="S66" s="14">
        <f>IF('Preencher pelo celular'!F379="","",'Preencher pelo celular'!F379)</f>
        <v/>
      </c>
      <c r="T66" s="19">
        <f>IF(COUNT(B66,E66,H66,K66,N66,Q66)=0,"",AVERAGE(B66,E66,H66,K66,N66,Q66))</f>
        <v/>
      </c>
      <c r="U66" s="19">
        <f>IF(COUNT(D66,G66,J66,M66,P66,S66)=0,"",AVERAGE(D66,G66,J66,M66,P66,S66))</f>
        <v/>
      </c>
      <c r="V66" s="19">
        <f>IF(COUNT(C66,F66,I66,L66,O66,R66)=0,"",SUM(C66,F66,I66,L66,O66,R66))</f>
        <v/>
      </c>
    </row>
    <row r="67">
      <c r="A67" s="20">
        <f>'Preencher pelo celular'!A380</f>
        <v/>
      </c>
      <c r="B67" s="21">
        <f>IF('Preencher pelo celular'!C380="","",'Preencher pelo celular'!C380)</f>
        <v/>
      </c>
      <c r="C67" s="21">
        <f>IF('Preencher pelo celular'!D380="","",'Preencher pelo celular'!D380)</f>
        <v/>
      </c>
      <c r="D67" s="21">
        <f>IF('Preencher pelo celular'!F380="","",'Preencher pelo celular'!F380)</f>
        <v/>
      </c>
      <c r="E67" s="21">
        <f>IF('Preencher pelo celular'!C381="","",'Preencher pelo celular'!C381)</f>
        <v/>
      </c>
      <c r="F67" s="21">
        <f>IF('Preencher pelo celular'!D381="","",'Preencher pelo celular'!D381)</f>
        <v/>
      </c>
      <c r="G67" s="21">
        <f>IF('Preencher pelo celular'!F381="","",'Preencher pelo celular'!F381)</f>
        <v/>
      </c>
      <c r="H67" s="21">
        <f>IF('Preencher pelo celular'!C382="","",'Preencher pelo celular'!C382)</f>
        <v/>
      </c>
      <c r="I67" s="21">
        <f>IF('Preencher pelo celular'!D382="","",'Preencher pelo celular'!D382)</f>
        <v/>
      </c>
      <c r="J67" s="21">
        <f>IF('Preencher pelo celular'!F382="","",'Preencher pelo celular'!F382)</f>
        <v/>
      </c>
      <c r="K67" s="21">
        <f>IF('Preencher pelo celular'!C383="","",'Preencher pelo celular'!C383)</f>
        <v/>
      </c>
      <c r="L67" s="21">
        <f>IF('Preencher pelo celular'!D383="","",'Preencher pelo celular'!D383)</f>
        <v/>
      </c>
      <c r="M67" s="21">
        <f>IF('Preencher pelo celular'!F383="","",'Preencher pelo celular'!F383)</f>
        <v/>
      </c>
      <c r="N67" s="21">
        <f>IF('Preencher pelo celular'!C384="","",'Preencher pelo celular'!C384)</f>
        <v/>
      </c>
      <c r="O67" s="21">
        <f>IF('Preencher pelo celular'!D384="","",'Preencher pelo celular'!D384)</f>
        <v/>
      </c>
      <c r="P67" s="21">
        <f>IF('Preencher pelo celular'!F384="","",'Preencher pelo celular'!F384)</f>
        <v/>
      </c>
      <c r="Q67" s="21">
        <f>IF('Preencher pelo celular'!C385="","",'Preencher pelo celular'!C385)</f>
        <v/>
      </c>
      <c r="R67" s="21">
        <f>IF('Preencher pelo celular'!D385="","",'Preencher pelo celular'!D385)</f>
        <v/>
      </c>
      <c r="S67" s="21">
        <f>IF('Preencher pelo celular'!F385="","",'Preencher pelo celular'!F385)</f>
        <v/>
      </c>
      <c r="T67" s="19">
        <f>IF(COUNT(B67,E67,H67,K67,N67,Q67)=0,"",AVERAGE(B67,E67,H67,K67,N67,Q67))</f>
        <v/>
      </c>
      <c r="U67" s="19">
        <f>IF(COUNT(D67,G67,J67,M67,P67,S67)=0,"",AVERAGE(D67,G67,J67,M67,P67,S67))</f>
        <v/>
      </c>
      <c r="V67" s="19">
        <f>IF(COUNT(C67,F67,I67,L67,O67,R67)=0,"",SUM(C67,F67,I67,L67,O67,R67))</f>
        <v/>
      </c>
    </row>
    <row r="68">
      <c r="A68" s="18">
        <f>'Preencher pelo celular'!A386</f>
        <v/>
      </c>
      <c r="B68" s="14">
        <f>IF('Preencher pelo celular'!C386="","",'Preencher pelo celular'!C386)</f>
        <v/>
      </c>
      <c r="C68" s="14">
        <f>IF('Preencher pelo celular'!D386="","",'Preencher pelo celular'!D386)</f>
        <v/>
      </c>
      <c r="D68" s="14">
        <f>IF('Preencher pelo celular'!F386="","",'Preencher pelo celular'!F386)</f>
        <v/>
      </c>
      <c r="E68" s="14">
        <f>IF('Preencher pelo celular'!C387="","",'Preencher pelo celular'!C387)</f>
        <v/>
      </c>
      <c r="F68" s="14">
        <f>IF('Preencher pelo celular'!D387="","",'Preencher pelo celular'!D387)</f>
        <v/>
      </c>
      <c r="G68" s="14">
        <f>IF('Preencher pelo celular'!F387="","",'Preencher pelo celular'!F387)</f>
        <v/>
      </c>
      <c r="H68" s="14">
        <f>IF('Preencher pelo celular'!C388="","",'Preencher pelo celular'!C388)</f>
        <v/>
      </c>
      <c r="I68" s="14">
        <f>IF('Preencher pelo celular'!D388="","",'Preencher pelo celular'!D388)</f>
        <v/>
      </c>
      <c r="J68" s="14">
        <f>IF('Preencher pelo celular'!F388="","",'Preencher pelo celular'!F388)</f>
        <v/>
      </c>
      <c r="K68" s="14">
        <f>IF('Preencher pelo celular'!C389="","",'Preencher pelo celular'!C389)</f>
        <v/>
      </c>
      <c r="L68" s="14">
        <f>IF('Preencher pelo celular'!D389="","",'Preencher pelo celular'!D389)</f>
        <v/>
      </c>
      <c r="M68" s="14">
        <f>IF('Preencher pelo celular'!F389="","",'Preencher pelo celular'!F389)</f>
        <v/>
      </c>
      <c r="N68" s="14">
        <f>IF('Preencher pelo celular'!C390="","",'Preencher pelo celular'!C390)</f>
        <v/>
      </c>
      <c r="O68" s="14">
        <f>IF('Preencher pelo celular'!D390="","",'Preencher pelo celular'!D390)</f>
        <v/>
      </c>
      <c r="P68" s="14">
        <f>IF('Preencher pelo celular'!F390="","",'Preencher pelo celular'!F390)</f>
        <v/>
      </c>
      <c r="Q68" s="14">
        <f>IF('Preencher pelo celular'!C391="","",'Preencher pelo celular'!C391)</f>
        <v/>
      </c>
      <c r="R68" s="14">
        <f>IF('Preencher pelo celular'!D391="","",'Preencher pelo celular'!D391)</f>
        <v/>
      </c>
      <c r="S68" s="14">
        <f>IF('Preencher pelo celular'!F391="","",'Preencher pelo celular'!F391)</f>
        <v/>
      </c>
      <c r="T68" s="19">
        <f>IF(COUNT(B68,E68,H68,K68,N68,Q68)=0,"",AVERAGE(B68,E68,H68,K68,N68,Q68))</f>
        <v/>
      </c>
      <c r="U68" s="19">
        <f>IF(COUNT(D68,G68,J68,M68,P68,S68)=0,"",AVERAGE(D68,G68,J68,M68,P68,S68))</f>
        <v/>
      </c>
      <c r="V68" s="19">
        <f>IF(COUNT(C68,F68,I68,L68,O68,R68)=0,"",SUM(C68,F68,I68,L68,O68,R68))</f>
        <v/>
      </c>
    </row>
    <row r="69">
      <c r="A69" s="20">
        <f>'Preencher pelo celular'!A392</f>
        <v/>
      </c>
      <c r="B69" s="21">
        <f>IF('Preencher pelo celular'!C392="","",'Preencher pelo celular'!C392)</f>
        <v/>
      </c>
      <c r="C69" s="21">
        <f>IF('Preencher pelo celular'!D392="","",'Preencher pelo celular'!D392)</f>
        <v/>
      </c>
      <c r="D69" s="21">
        <f>IF('Preencher pelo celular'!F392="","",'Preencher pelo celular'!F392)</f>
        <v/>
      </c>
      <c r="E69" s="21">
        <f>IF('Preencher pelo celular'!C393="","",'Preencher pelo celular'!C393)</f>
        <v/>
      </c>
      <c r="F69" s="21">
        <f>IF('Preencher pelo celular'!D393="","",'Preencher pelo celular'!D393)</f>
        <v/>
      </c>
      <c r="G69" s="21">
        <f>IF('Preencher pelo celular'!F393="","",'Preencher pelo celular'!F393)</f>
        <v/>
      </c>
      <c r="H69" s="21">
        <f>IF('Preencher pelo celular'!C394="","",'Preencher pelo celular'!C394)</f>
        <v/>
      </c>
      <c r="I69" s="21">
        <f>IF('Preencher pelo celular'!D394="","",'Preencher pelo celular'!D394)</f>
        <v/>
      </c>
      <c r="J69" s="21">
        <f>IF('Preencher pelo celular'!F394="","",'Preencher pelo celular'!F394)</f>
        <v/>
      </c>
      <c r="K69" s="21">
        <f>IF('Preencher pelo celular'!C395="","",'Preencher pelo celular'!C395)</f>
        <v/>
      </c>
      <c r="L69" s="21">
        <f>IF('Preencher pelo celular'!D395="","",'Preencher pelo celular'!D395)</f>
        <v/>
      </c>
      <c r="M69" s="21">
        <f>IF('Preencher pelo celular'!F395="","",'Preencher pelo celular'!F395)</f>
        <v/>
      </c>
      <c r="N69" s="21">
        <f>IF('Preencher pelo celular'!C396="","",'Preencher pelo celular'!C396)</f>
        <v/>
      </c>
      <c r="O69" s="21">
        <f>IF('Preencher pelo celular'!D396="","",'Preencher pelo celular'!D396)</f>
        <v/>
      </c>
      <c r="P69" s="21">
        <f>IF('Preencher pelo celular'!F396="","",'Preencher pelo celular'!F396)</f>
        <v/>
      </c>
      <c r="Q69" s="21">
        <f>IF('Preencher pelo celular'!C397="","",'Preencher pelo celular'!C397)</f>
        <v/>
      </c>
      <c r="R69" s="21">
        <f>IF('Preencher pelo celular'!D397="","",'Preencher pelo celular'!D397)</f>
        <v/>
      </c>
      <c r="S69" s="21">
        <f>IF('Preencher pelo celular'!F397="","",'Preencher pelo celular'!F397)</f>
        <v/>
      </c>
      <c r="T69" s="19">
        <f>IF(COUNT(B69,E69,H69,K69,N69,Q69)=0,"",AVERAGE(B69,E69,H69,K69,N69,Q69))</f>
        <v/>
      </c>
      <c r="U69" s="19">
        <f>IF(COUNT(D69,G69,J69,M69,P69,S69)=0,"",AVERAGE(D69,G69,J69,M69,P69,S69))</f>
        <v/>
      </c>
      <c r="V69" s="19">
        <f>IF(COUNT(C69,F69,I69,L69,O69,R69)=0,"",SUM(C69,F69,I69,L69,O69,R69))</f>
        <v/>
      </c>
    </row>
    <row r="70">
      <c r="A70" s="18">
        <f>'Preencher pelo celular'!A398</f>
        <v/>
      </c>
      <c r="B70" s="14">
        <f>IF('Preencher pelo celular'!C398="","",'Preencher pelo celular'!C398)</f>
        <v/>
      </c>
      <c r="C70" s="14">
        <f>IF('Preencher pelo celular'!D398="","",'Preencher pelo celular'!D398)</f>
        <v/>
      </c>
      <c r="D70" s="14">
        <f>IF('Preencher pelo celular'!F398="","",'Preencher pelo celular'!F398)</f>
        <v/>
      </c>
      <c r="E70" s="14">
        <f>IF('Preencher pelo celular'!C399="","",'Preencher pelo celular'!C399)</f>
        <v/>
      </c>
      <c r="F70" s="14">
        <f>IF('Preencher pelo celular'!D399="","",'Preencher pelo celular'!D399)</f>
        <v/>
      </c>
      <c r="G70" s="14">
        <f>IF('Preencher pelo celular'!F399="","",'Preencher pelo celular'!F399)</f>
        <v/>
      </c>
      <c r="H70" s="14">
        <f>IF('Preencher pelo celular'!C400="","",'Preencher pelo celular'!C400)</f>
        <v/>
      </c>
      <c r="I70" s="14">
        <f>IF('Preencher pelo celular'!D400="","",'Preencher pelo celular'!D400)</f>
        <v/>
      </c>
      <c r="J70" s="14">
        <f>IF('Preencher pelo celular'!F400="","",'Preencher pelo celular'!F400)</f>
        <v/>
      </c>
      <c r="K70" s="14">
        <f>IF('Preencher pelo celular'!C401="","",'Preencher pelo celular'!C401)</f>
        <v/>
      </c>
      <c r="L70" s="14">
        <f>IF('Preencher pelo celular'!D401="","",'Preencher pelo celular'!D401)</f>
        <v/>
      </c>
      <c r="M70" s="14">
        <f>IF('Preencher pelo celular'!F401="","",'Preencher pelo celular'!F401)</f>
        <v/>
      </c>
      <c r="N70" s="14">
        <f>IF('Preencher pelo celular'!C402="","",'Preencher pelo celular'!C402)</f>
        <v/>
      </c>
      <c r="O70" s="14">
        <f>IF('Preencher pelo celular'!D402="","",'Preencher pelo celular'!D402)</f>
        <v/>
      </c>
      <c r="P70" s="14">
        <f>IF('Preencher pelo celular'!F402="","",'Preencher pelo celular'!F402)</f>
        <v/>
      </c>
      <c r="Q70" s="14">
        <f>IF('Preencher pelo celular'!C403="","",'Preencher pelo celular'!C403)</f>
        <v/>
      </c>
      <c r="R70" s="14">
        <f>IF('Preencher pelo celular'!D403="","",'Preencher pelo celular'!D403)</f>
        <v/>
      </c>
      <c r="S70" s="14">
        <f>IF('Preencher pelo celular'!F403="","",'Preencher pelo celular'!F403)</f>
        <v/>
      </c>
      <c r="T70" s="19">
        <f>IF(COUNT(B70,E70,H70,K70,N70,Q70)=0,"",AVERAGE(B70,E70,H70,K70,N70,Q70))</f>
        <v/>
      </c>
      <c r="U70" s="19">
        <f>IF(COUNT(D70,G70,J70,M70,P70,S70)=0,"",AVERAGE(D70,G70,J70,M70,P70,S70))</f>
        <v/>
      </c>
      <c r="V70" s="19">
        <f>IF(COUNT(C70,F70,I70,L70,O70,R70)=0,"",SUM(C70,F70,I70,L70,O70,R70))</f>
        <v/>
      </c>
    </row>
    <row r="71">
      <c r="A71" s="20">
        <f>'Preencher pelo celular'!A404</f>
        <v/>
      </c>
      <c r="B71" s="21">
        <f>IF('Preencher pelo celular'!C404="","",'Preencher pelo celular'!C404)</f>
        <v/>
      </c>
      <c r="C71" s="21">
        <f>IF('Preencher pelo celular'!D404="","",'Preencher pelo celular'!D404)</f>
        <v/>
      </c>
      <c r="D71" s="21">
        <f>IF('Preencher pelo celular'!F404="","",'Preencher pelo celular'!F404)</f>
        <v/>
      </c>
      <c r="E71" s="21">
        <f>IF('Preencher pelo celular'!C405="","",'Preencher pelo celular'!C405)</f>
        <v/>
      </c>
      <c r="F71" s="21">
        <f>IF('Preencher pelo celular'!D405="","",'Preencher pelo celular'!D405)</f>
        <v/>
      </c>
      <c r="G71" s="21">
        <f>IF('Preencher pelo celular'!F405="","",'Preencher pelo celular'!F405)</f>
        <v/>
      </c>
      <c r="H71" s="21">
        <f>IF('Preencher pelo celular'!C406="","",'Preencher pelo celular'!C406)</f>
        <v/>
      </c>
      <c r="I71" s="21">
        <f>IF('Preencher pelo celular'!D406="","",'Preencher pelo celular'!D406)</f>
        <v/>
      </c>
      <c r="J71" s="21">
        <f>IF('Preencher pelo celular'!F406="","",'Preencher pelo celular'!F406)</f>
        <v/>
      </c>
      <c r="K71" s="21">
        <f>IF('Preencher pelo celular'!C407="","",'Preencher pelo celular'!C407)</f>
        <v/>
      </c>
      <c r="L71" s="21">
        <f>IF('Preencher pelo celular'!D407="","",'Preencher pelo celular'!D407)</f>
        <v/>
      </c>
      <c r="M71" s="21">
        <f>IF('Preencher pelo celular'!F407="","",'Preencher pelo celular'!F407)</f>
        <v/>
      </c>
      <c r="N71" s="21">
        <f>IF('Preencher pelo celular'!C408="","",'Preencher pelo celular'!C408)</f>
        <v/>
      </c>
      <c r="O71" s="21">
        <f>IF('Preencher pelo celular'!D408="","",'Preencher pelo celular'!D408)</f>
        <v/>
      </c>
      <c r="P71" s="21">
        <f>IF('Preencher pelo celular'!F408="","",'Preencher pelo celular'!F408)</f>
        <v/>
      </c>
      <c r="Q71" s="21">
        <f>IF('Preencher pelo celular'!C409="","",'Preencher pelo celular'!C409)</f>
        <v/>
      </c>
      <c r="R71" s="21">
        <f>IF('Preencher pelo celular'!D409="","",'Preencher pelo celular'!D409)</f>
        <v/>
      </c>
      <c r="S71" s="21">
        <f>IF('Preencher pelo celular'!F409="","",'Preencher pelo celular'!F409)</f>
        <v/>
      </c>
      <c r="T71" s="19">
        <f>IF(COUNT(B71,E71,H71,K71,N71,Q71)=0,"",AVERAGE(B71,E71,H71,K71,N71,Q71))</f>
        <v/>
      </c>
      <c r="U71" s="19">
        <f>IF(COUNT(D71,G71,J71,M71,P71,S71)=0,"",AVERAGE(D71,G71,J71,M71,P71,S71))</f>
        <v/>
      </c>
      <c r="V71" s="19">
        <f>IF(COUNT(C71,F71,I71,L71,O71,R71)=0,"",SUM(C71,F71,I71,L71,O71,R71))</f>
        <v/>
      </c>
    </row>
    <row r="72">
      <c r="A72" s="18">
        <f>'Preencher pelo celular'!A410</f>
        <v/>
      </c>
      <c r="B72" s="14">
        <f>IF('Preencher pelo celular'!C410="","",'Preencher pelo celular'!C410)</f>
        <v/>
      </c>
      <c r="C72" s="14">
        <f>IF('Preencher pelo celular'!D410="","",'Preencher pelo celular'!D410)</f>
        <v/>
      </c>
      <c r="D72" s="14">
        <f>IF('Preencher pelo celular'!F410="","",'Preencher pelo celular'!F410)</f>
        <v/>
      </c>
      <c r="E72" s="14">
        <f>IF('Preencher pelo celular'!C411="","",'Preencher pelo celular'!C411)</f>
        <v/>
      </c>
      <c r="F72" s="14">
        <f>IF('Preencher pelo celular'!D411="","",'Preencher pelo celular'!D411)</f>
        <v/>
      </c>
      <c r="G72" s="14">
        <f>IF('Preencher pelo celular'!F411="","",'Preencher pelo celular'!F411)</f>
        <v/>
      </c>
      <c r="H72" s="14">
        <f>IF('Preencher pelo celular'!C412="","",'Preencher pelo celular'!C412)</f>
        <v/>
      </c>
      <c r="I72" s="14">
        <f>IF('Preencher pelo celular'!D412="","",'Preencher pelo celular'!D412)</f>
        <v/>
      </c>
      <c r="J72" s="14">
        <f>IF('Preencher pelo celular'!F412="","",'Preencher pelo celular'!F412)</f>
        <v/>
      </c>
      <c r="K72" s="14">
        <f>IF('Preencher pelo celular'!C413="","",'Preencher pelo celular'!C413)</f>
        <v/>
      </c>
      <c r="L72" s="14">
        <f>IF('Preencher pelo celular'!D413="","",'Preencher pelo celular'!D413)</f>
        <v/>
      </c>
      <c r="M72" s="14">
        <f>IF('Preencher pelo celular'!F413="","",'Preencher pelo celular'!F413)</f>
        <v/>
      </c>
      <c r="N72" s="14">
        <f>IF('Preencher pelo celular'!C414="","",'Preencher pelo celular'!C414)</f>
        <v/>
      </c>
      <c r="O72" s="14">
        <f>IF('Preencher pelo celular'!D414="","",'Preencher pelo celular'!D414)</f>
        <v/>
      </c>
      <c r="P72" s="14">
        <f>IF('Preencher pelo celular'!F414="","",'Preencher pelo celular'!F414)</f>
        <v/>
      </c>
      <c r="Q72" s="14">
        <f>IF('Preencher pelo celular'!C415="","",'Preencher pelo celular'!C415)</f>
        <v/>
      </c>
      <c r="R72" s="14">
        <f>IF('Preencher pelo celular'!D415="","",'Preencher pelo celular'!D415)</f>
        <v/>
      </c>
      <c r="S72" s="14">
        <f>IF('Preencher pelo celular'!F415="","",'Preencher pelo celular'!F415)</f>
        <v/>
      </c>
      <c r="T72" s="19">
        <f>IF(COUNT(B72,E72,H72,K72,N72,Q72)=0,"",AVERAGE(B72,E72,H72,K72,N72,Q72))</f>
        <v/>
      </c>
      <c r="U72" s="19">
        <f>IF(COUNT(D72,G72,J72,M72,P72,S72)=0,"",AVERAGE(D72,G72,J72,M72,P72,S72))</f>
        <v/>
      </c>
      <c r="V72" s="19">
        <f>IF(COUNT(C72,F72,I72,L72,O72,R72)=0,"",SUM(C72,F72,I72,L72,O72,R72))</f>
        <v/>
      </c>
    </row>
    <row r="73">
      <c r="A73" s="20">
        <f>'Preencher pelo celular'!A416</f>
        <v/>
      </c>
      <c r="B73" s="21">
        <f>IF('Preencher pelo celular'!C416="","",'Preencher pelo celular'!C416)</f>
        <v/>
      </c>
      <c r="C73" s="21">
        <f>IF('Preencher pelo celular'!D416="","",'Preencher pelo celular'!D416)</f>
        <v/>
      </c>
      <c r="D73" s="21">
        <f>IF('Preencher pelo celular'!F416="","",'Preencher pelo celular'!F416)</f>
        <v/>
      </c>
      <c r="E73" s="21">
        <f>IF('Preencher pelo celular'!C417="","",'Preencher pelo celular'!C417)</f>
        <v/>
      </c>
      <c r="F73" s="21">
        <f>IF('Preencher pelo celular'!D417="","",'Preencher pelo celular'!D417)</f>
        <v/>
      </c>
      <c r="G73" s="21">
        <f>IF('Preencher pelo celular'!F417="","",'Preencher pelo celular'!F417)</f>
        <v/>
      </c>
      <c r="H73" s="21">
        <f>IF('Preencher pelo celular'!C418="","",'Preencher pelo celular'!C418)</f>
        <v/>
      </c>
      <c r="I73" s="21">
        <f>IF('Preencher pelo celular'!D418="","",'Preencher pelo celular'!D418)</f>
        <v/>
      </c>
      <c r="J73" s="21">
        <f>IF('Preencher pelo celular'!F418="","",'Preencher pelo celular'!F418)</f>
        <v/>
      </c>
      <c r="K73" s="21">
        <f>IF('Preencher pelo celular'!C419="","",'Preencher pelo celular'!C419)</f>
        <v/>
      </c>
      <c r="L73" s="21">
        <f>IF('Preencher pelo celular'!D419="","",'Preencher pelo celular'!D419)</f>
        <v/>
      </c>
      <c r="M73" s="21">
        <f>IF('Preencher pelo celular'!F419="","",'Preencher pelo celular'!F419)</f>
        <v/>
      </c>
      <c r="N73" s="21">
        <f>IF('Preencher pelo celular'!C420="","",'Preencher pelo celular'!C420)</f>
        <v/>
      </c>
      <c r="O73" s="21">
        <f>IF('Preencher pelo celular'!D420="","",'Preencher pelo celular'!D420)</f>
        <v/>
      </c>
      <c r="P73" s="21">
        <f>IF('Preencher pelo celular'!F420="","",'Preencher pelo celular'!F420)</f>
        <v/>
      </c>
      <c r="Q73" s="21">
        <f>IF('Preencher pelo celular'!C421="","",'Preencher pelo celular'!C421)</f>
        <v/>
      </c>
      <c r="R73" s="21">
        <f>IF('Preencher pelo celular'!D421="","",'Preencher pelo celular'!D421)</f>
        <v/>
      </c>
      <c r="S73" s="21">
        <f>IF('Preencher pelo celular'!F421="","",'Preencher pelo celular'!F421)</f>
        <v/>
      </c>
      <c r="T73" s="19">
        <f>IF(COUNT(B73,E73,H73,K73,N73,Q73)=0,"",AVERAGE(B73,E73,H73,K73,N73,Q73))</f>
        <v/>
      </c>
      <c r="U73" s="19">
        <f>IF(COUNT(D73,G73,J73,M73,P73,S73)=0,"",AVERAGE(D73,G73,J73,M73,P73,S73))</f>
        <v/>
      </c>
      <c r="V73" s="19">
        <f>IF(COUNT(C73,F73,I73,L73,O73,R73)=0,"",SUM(C73,F73,I73,L73,O73,R73))</f>
        <v/>
      </c>
    </row>
    <row r="74">
      <c r="A74" s="18">
        <f>'Preencher pelo celular'!A422</f>
        <v/>
      </c>
      <c r="B74" s="14">
        <f>IF('Preencher pelo celular'!C422="","",'Preencher pelo celular'!C422)</f>
        <v/>
      </c>
      <c r="C74" s="14">
        <f>IF('Preencher pelo celular'!D422="","",'Preencher pelo celular'!D422)</f>
        <v/>
      </c>
      <c r="D74" s="14">
        <f>IF('Preencher pelo celular'!F422="","",'Preencher pelo celular'!F422)</f>
        <v/>
      </c>
      <c r="E74" s="14">
        <f>IF('Preencher pelo celular'!C423="","",'Preencher pelo celular'!C423)</f>
        <v/>
      </c>
      <c r="F74" s="14">
        <f>IF('Preencher pelo celular'!D423="","",'Preencher pelo celular'!D423)</f>
        <v/>
      </c>
      <c r="G74" s="14">
        <f>IF('Preencher pelo celular'!F423="","",'Preencher pelo celular'!F423)</f>
        <v/>
      </c>
      <c r="H74" s="14">
        <f>IF('Preencher pelo celular'!C424="","",'Preencher pelo celular'!C424)</f>
        <v/>
      </c>
      <c r="I74" s="14">
        <f>IF('Preencher pelo celular'!D424="","",'Preencher pelo celular'!D424)</f>
        <v/>
      </c>
      <c r="J74" s="14">
        <f>IF('Preencher pelo celular'!F424="","",'Preencher pelo celular'!F424)</f>
        <v/>
      </c>
      <c r="K74" s="14">
        <f>IF('Preencher pelo celular'!C425="","",'Preencher pelo celular'!C425)</f>
        <v/>
      </c>
      <c r="L74" s="14">
        <f>IF('Preencher pelo celular'!D425="","",'Preencher pelo celular'!D425)</f>
        <v/>
      </c>
      <c r="M74" s="14">
        <f>IF('Preencher pelo celular'!F425="","",'Preencher pelo celular'!F425)</f>
        <v/>
      </c>
      <c r="N74" s="14">
        <f>IF('Preencher pelo celular'!C426="","",'Preencher pelo celular'!C426)</f>
        <v/>
      </c>
      <c r="O74" s="14">
        <f>IF('Preencher pelo celular'!D426="","",'Preencher pelo celular'!D426)</f>
        <v/>
      </c>
      <c r="P74" s="14">
        <f>IF('Preencher pelo celular'!F426="","",'Preencher pelo celular'!F426)</f>
        <v/>
      </c>
      <c r="Q74" s="14">
        <f>IF('Preencher pelo celular'!C427="","",'Preencher pelo celular'!C427)</f>
        <v/>
      </c>
      <c r="R74" s="14">
        <f>IF('Preencher pelo celular'!D427="","",'Preencher pelo celular'!D427)</f>
        <v/>
      </c>
      <c r="S74" s="14">
        <f>IF('Preencher pelo celular'!F427="","",'Preencher pelo celular'!F427)</f>
        <v/>
      </c>
      <c r="T74" s="19">
        <f>IF(COUNT(B74,E74,H74,K74,N74,Q74)=0,"",AVERAGE(B74,E74,H74,K74,N74,Q74))</f>
        <v/>
      </c>
      <c r="U74" s="19">
        <f>IF(COUNT(D74,G74,J74,M74,P74,S74)=0,"",AVERAGE(D74,G74,J74,M74,P74,S74))</f>
        <v/>
      </c>
      <c r="V74" s="19">
        <f>IF(COUNT(C74,F74,I74,L74,O74,R74)=0,"",SUM(C74,F74,I74,L74,O74,R74))</f>
        <v/>
      </c>
    </row>
    <row r="75">
      <c r="A75" s="20">
        <f>'Preencher pelo celular'!A428</f>
        <v/>
      </c>
      <c r="B75" s="21">
        <f>IF('Preencher pelo celular'!C428="","",'Preencher pelo celular'!C428)</f>
        <v/>
      </c>
      <c r="C75" s="21">
        <f>IF('Preencher pelo celular'!D428="","",'Preencher pelo celular'!D428)</f>
        <v/>
      </c>
      <c r="D75" s="21">
        <f>IF('Preencher pelo celular'!F428="","",'Preencher pelo celular'!F428)</f>
        <v/>
      </c>
      <c r="E75" s="21">
        <f>IF('Preencher pelo celular'!C429="","",'Preencher pelo celular'!C429)</f>
        <v/>
      </c>
      <c r="F75" s="21">
        <f>IF('Preencher pelo celular'!D429="","",'Preencher pelo celular'!D429)</f>
        <v/>
      </c>
      <c r="G75" s="21">
        <f>IF('Preencher pelo celular'!F429="","",'Preencher pelo celular'!F429)</f>
        <v/>
      </c>
      <c r="H75" s="21">
        <f>IF('Preencher pelo celular'!C430="","",'Preencher pelo celular'!C430)</f>
        <v/>
      </c>
      <c r="I75" s="21">
        <f>IF('Preencher pelo celular'!D430="","",'Preencher pelo celular'!D430)</f>
        <v/>
      </c>
      <c r="J75" s="21">
        <f>IF('Preencher pelo celular'!F430="","",'Preencher pelo celular'!F430)</f>
        <v/>
      </c>
      <c r="K75" s="21">
        <f>IF('Preencher pelo celular'!C431="","",'Preencher pelo celular'!C431)</f>
        <v/>
      </c>
      <c r="L75" s="21">
        <f>IF('Preencher pelo celular'!D431="","",'Preencher pelo celular'!D431)</f>
        <v/>
      </c>
      <c r="M75" s="21">
        <f>IF('Preencher pelo celular'!F431="","",'Preencher pelo celular'!F431)</f>
        <v/>
      </c>
      <c r="N75" s="21">
        <f>IF('Preencher pelo celular'!C432="","",'Preencher pelo celular'!C432)</f>
        <v/>
      </c>
      <c r="O75" s="21">
        <f>IF('Preencher pelo celular'!D432="","",'Preencher pelo celular'!D432)</f>
        <v/>
      </c>
      <c r="P75" s="21">
        <f>IF('Preencher pelo celular'!F432="","",'Preencher pelo celular'!F432)</f>
        <v/>
      </c>
      <c r="Q75" s="21">
        <f>IF('Preencher pelo celular'!C433="","",'Preencher pelo celular'!C433)</f>
        <v/>
      </c>
      <c r="R75" s="21">
        <f>IF('Preencher pelo celular'!D433="","",'Preencher pelo celular'!D433)</f>
        <v/>
      </c>
      <c r="S75" s="21">
        <f>IF('Preencher pelo celular'!F433="","",'Preencher pelo celular'!F433)</f>
        <v/>
      </c>
      <c r="T75" s="19">
        <f>IF(COUNT(B75,E75,H75,K75,N75,Q75)=0,"",AVERAGE(B75,E75,H75,K75,N75,Q75))</f>
        <v/>
      </c>
      <c r="U75" s="19">
        <f>IF(COUNT(D75,G75,J75,M75,P75,S75)=0,"",AVERAGE(D75,G75,J75,M75,P75,S75))</f>
        <v/>
      </c>
      <c r="V75" s="19">
        <f>IF(COUNT(C75,F75,I75,L75,O75,R75)=0,"",SUM(C75,F75,I75,L75,O75,R75))</f>
        <v/>
      </c>
    </row>
    <row r="76">
      <c r="A76" s="18">
        <f>'Preencher pelo celular'!A434</f>
        <v/>
      </c>
      <c r="B76" s="14">
        <f>IF('Preencher pelo celular'!C434="","",'Preencher pelo celular'!C434)</f>
        <v/>
      </c>
      <c r="C76" s="14">
        <f>IF('Preencher pelo celular'!D434="","",'Preencher pelo celular'!D434)</f>
        <v/>
      </c>
      <c r="D76" s="14">
        <f>IF('Preencher pelo celular'!F434="","",'Preencher pelo celular'!F434)</f>
        <v/>
      </c>
      <c r="E76" s="14">
        <f>IF('Preencher pelo celular'!C435="","",'Preencher pelo celular'!C435)</f>
        <v/>
      </c>
      <c r="F76" s="14">
        <f>IF('Preencher pelo celular'!D435="","",'Preencher pelo celular'!D435)</f>
        <v/>
      </c>
      <c r="G76" s="14">
        <f>IF('Preencher pelo celular'!F435="","",'Preencher pelo celular'!F435)</f>
        <v/>
      </c>
      <c r="H76" s="14">
        <f>IF('Preencher pelo celular'!C436="","",'Preencher pelo celular'!C436)</f>
        <v/>
      </c>
      <c r="I76" s="14">
        <f>IF('Preencher pelo celular'!D436="","",'Preencher pelo celular'!D436)</f>
        <v/>
      </c>
      <c r="J76" s="14">
        <f>IF('Preencher pelo celular'!F436="","",'Preencher pelo celular'!F436)</f>
        <v/>
      </c>
      <c r="K76" s="14">
        <f>IF('Preencher pelo celular'!C437="","",'Preencher pelo celular'!C437)</f>
        <v/>
      </c>
      <c r="L76" s="14">
        <f>IF('Preencher pelo celular'!D437="","",'Preencher pelo celular'!D437)</f>
        <v/>
      </c>
      <c r="M76" s="14">
        <f>IF('Preencher pelo celular'!F437="","",'Preencher pelo celular'!F437)</f>
        <v/>
      </c>
      <c r="N76" s="14">
        <f>IF('Preencher pelo celular'!C438="","",'Preencher pelo celular'!C438)</f>
        <v/>
      </c>
      <c r="O76" s="14">
        <f>IF('Preencher pelo celular'!D438="","",'Preencher pelo celular'!D438)</f>
        <v/>
      </c>
      <c r="P76" s="14">
        <f>IF('Preencher pelo celular'!F438="","",'Preencher pelo celular'!F438)</f>
        <v/>
      </c>
      <c r="Q76" s="14">
        <f>IF('Preencher pelo celular'!C439="","",'Preencher pelo celular'!C439)</f>
        <v/>
      </c>
      <c r="R76" s="14">
        <f>IF('Preencher pelo celular'!D439="","",'Preencher pelo celular'!D439)</f>
        <v/>
      </c>
      <c r="S76" s="14">
        <f>IF('Preencher pelo celular'!F439="","",'Preencher pelo celular'!F439)</f>
        <v/>
      </c>
      <c r="T76" s="19">
        <f>IF(COUNT(B76,E76,H76,K76,N76,Q76)=0,"",AVERAGE(B76,E76,H76,K76,N76,Q76))</f>
        <v/>
      </c>
      <c r="U76" s="19">
        <f>IF(COUNT(D76,G76,J76,M76,P76,S76)=0,"",AVERAGE(D76,G76,J76,M76,P76,S76))</f>
        <v/>
      </c>
      <c r="V76" s="19">
        <f>IF(COUNT(C76,F76,I76,L76,O76,R76)=0,"",SUM(C76,F76,I76,L76,O76,R76))</f>
        <v/>
      </c>
    </row>
    <row r="77">
      <c r="A77" s="20">
        <f>'Preencher pelo celular'!A440</f>
        <v/>
      </c>
      <c r="B77" s="21">
        <f>IF('Preencher pelo celular'!C440="","",'Preencher pelo celular'!C440)</f>
        <v/>
      </c>
      <c r="C77" s="21">
        <f>IF('Preencher pelo celular'!D440="","",'Preencher pelo celular'!D440)</f>
        <v/>
      </c>
      <c r="D77" s="21">
        <f>IF('Preencher pelo celular'!F440="","",'Preencher pelo celular'!F440)</f>
        <v/>
      </c>
      <c r="E77" s="21">
        <f>IF('Preencher pelo celular'!C441="","",'Preencher pelo celular'!C441)</f>
        <v/>
      </c>
      <c r="F77" s="21">
        <f>IF('Preencher pelo celular'!D441="","",'Preencher pelo celular'!D441)</f>
        <v/>
      </c>
      <c r="G77" s="21">
        <f>IF('Preencher pelo celular'!F441="","",'Preencher pelo celular'!F441)</f>
        <v/>
      </c>
      <c r="H77" s="21">
        <f>IF('Preencher pelo celular'!C442="","",'Preencher pelo celular'!C442)</f>
        <v/>
      </c>
      <c r="I77" s="21">
        <f>IF('Preencher pelo celular'!D442="","",'Preencher pelo celular'!D442)</f>
        <v/>
      </c>
      <c r="J77" s="21">
        <f>IF('Preencher pelo celular'!F442="","",'Preencher pelo celular'!F442)</f>
        <v/>
      </c>
      <c r="K77" s="21">
        <f>IF('Preencher pelo celular'!C443="","",'Preencher pelo celular'!C443)</f>
        <v/>
      </c>
      <c r="L77" s="21">
        <f>IF('Preencher pelo celular'!D443="","",'Preencher pelo celular'!D443)</f>
        <v/>
      </c>
      <c r="M77" s="21">
        <f>IF('Preencher pelo celular'!F443="","",'Preencher pelo celular'!F443)</f>
        <v/>
      </c>
      <c r="N77" s="21">
        <f>IF('Preencher pelo celular'!C444="","",'Preencher pelo celular'!C444)</f>
        <v/>
      </c>
      <c r="O77" s="21">
        <f>IF('Preencher pelo celular'!D444="","",'Preencher pelo celular'!D444)</f>
        <v/>
      </c>
      <c r="P77" s="21">
        <f>IF('Preencher pelo celular'!F444="","",'Preencher pelo celular'!F444)</f>
        <v/>
      </c>
      <c r="Q77" s="21">
        <f>IF('Preencher pelo celular'!C445="","",'Preencher pelo celular'!C445)</f>
        <v/>
      </c>
      <c r="R77" s="21">
        <f>IF('Preencher pelo celular'!D445="","",'Preencher pelo celular'!D445)</f>
        <v/>
      </c>
      <c r="S77" s="21">
        <f>IF('Preencher pelo celular'!F445="","",'Preencher pelo celular'!F445)</f>
        <v/>
      </c>
      <c r="T77" s="19">
        <f>IF(COUNT(B77,E77,H77,K77,N77,Q77)=0,"",AVERAGE(B77,E77,H77,K77,N77,Q77))</f>
        <v/>
      </c>
      <c r="U77" s="19">
        <f>IF(COUNT(D77,G77,J77,M77,P77,S77)=0,"",AVERAGE(D77,G77,J77,M77,P77,S77))</f>
        <v/>
      </c>
      <c r="V77" s="19">
        <f>IF(COUNT(C77,F77,I77,L77,O77,R77)=0,"",SUM(C77,F77,I77,L77,O77,R77))</f>
        <v/>
      </c>
    </row>
    <row r="78">
      <c r="A78" s="18">
        <f>'Preencher pelo celular'!A446</f>
        <v/>
      </c>
      <c r="B78" s="14">
        <f>IF('Preencher pelo celular'!C446="","",'Preencher pelo celular'!C446)</f>
        <v/>
      </c>
      <c r="C78" s="14">
        <f>IF('Preencher pelo celular'!D446="","",'Preencher pelo celular'!D446)</f>
        <v/>
      </c>
      <c r="D78" s="14">
        <f>IF('Preencher pelo celular'!F446="","",'Preencher pelo celular'!F446)</f>
        <v/>
      </c>
      <c r="E78" s="14">
        <f>IF('Preencher pelo celular'!C447="","",'Preencher pelo celular'!C447)</f>
        <v/>
      </c>
      <c r="F78" s="14">
        <f>IF('Preencher pelo celular'!D447="","",'Preencher pelo celular'!D447)</f>
        <v/>
      </c>
      <c r="G78" s="14">
        <f>IF('Preencher pelo celular'!F447="","",'Preencher pelo celular'!F447)</f>
        <v/>
      </c>
      <c r="H78" s="14">
        <f>IF('Preencher pelo celular'!C448="","",'Preencher pelo celular'!C448)</f>
        <v/>
      </c>
      <c r="I78" s="14">
        <f>IF('Preencher pelo celular'!D448="","",'Preencher pelo celular'!D448)</f>
        <v/>
      </c>
      <c r="J78" s="14">
        <f>IF('Preencher pelo celular'!F448="","",'Preencher pelo celular'!F448)</f>
        <v/>
      </c>
      <c r="K78" s="14">
        <f>IF('Preencher pelo celular'!C449="","",'Preencher pelo celular'!C449)</f>
        <v/>
      </c>
      <c r="L78" s="14">
        <f>IF('Preencher pelo celular'!D449="","",'Preencher pelo celular'!D449)</f>
        <v/>
      </c>
      <c r="M78" s="14">
        <f>IF('Preencher pelo celular'!F449="","",'Preencher pelo celular'!F449)</f>
        <v/>
      </c>
      <c r="N78" s="14">
        <f>IF('Preencher pelo celular'!C450="","",'Preencher pelo celular'!C450)</f>
        <v/>
      </c>
      <c r="O78" s="14">
        <f>IF('Preencher pelo celular'!D450="","",'Preencher pelo celular'!D450)</f>
        <v/>
      </c>
      <c r="P78" s="14">
        <f>IF('Preencher pelo celular'!F450="","",'Preencher pelo celular'!F450)</f>
        <v/>
      </c>
      <c r="Q78" s="14">
        <f>IF('Preencher pelo celular'!C451="","",'Preencher pelo celular'!C451)</f>
        <v/>
      </c>
      <c r="R78" s="14">
        <f>IF('Preencher pelo celular'!D451="","",'Preencher pelo celular'!D451)</f>
        <v/>
      </c>
      <c r="S78" s="14">
        <f>IF('Preencher pelo celular'!F451="","",'Preencher pelo celular'!F451)</f>
        <v/>
      </c>
      <c r="T78" s="19">
        <f>IF(COUNT(B78,E78,H78,K78,N78,Q78)=0,"",AVERAGE(B78,E78,H78,K78,N78,Q78))</f>
        <v/>
      </c>
      <c r="U78" s="19">
        <f>IF(COUNT(D78,G78,J78,M78,P78,S78)=0,"",AVERAGE(D78,G78,J78,M78,P78,S78))</f>
        <v/>
      </c>
      <c r="V78" s="19">
        <f>IF(COUNT(C78,F78,I78,L78,O78,R78)=0,"",SUM(C78,F78,I78,L78,O78,R78))</f>
        <v/>
      </c>
    </row>
    <row r="79">
      <c r="A79" s="20">
        <f>'Preencher pelo celular'!A452</f>
        <v/>
      </c>
      <c r="B79" s="21">
        <f>IF('Preencher pelo celular'!C452="","",'Preencher pelo celular'!C452)</f>
        <v/>
      </c>
      <c r="C79" s="21">
        <f>IF('Preencher pelo celular'!D452="","",'Preencher pelo celular'!D452)</f>
        <v/>
      </c>
      <c r="D79" s="21">
        <f>IF('Preencher pelo celular'!F452="","",'Preencher pelo celular'!F452)</f>
        <v/>
      </c>
      <c r="E79" s="21">
        <f>IF('Preencher pelo celular'!C453="","",'Preencher pelo celular'!C453)</f>
        <v/>
      </c>
      <c r="F79" s="21">
        <f>IF('Preencher pelo celular'!D453="","",'Preencher pelo celular'!D453)</f>
        <v/>
      </c>
      <c r="G79" s="21">
        <f>IF('Preencher pelo celular'!F453="","",'Preencher pelo celular'!F453)</f>
        <v/>
      </c>
      <c r="H79" s="21">
        <f>IF('Preencher pelo celular'!C454="","",'Preencher pelo celular'!C454)</f>
        <v/>
      </c>
      <c r="I79" s="21">
        <f>IF('Preencher pelo celular'!D454="","",'Preencher pelo celular'!D454)</f>
        <v/>
      </c>
      <c r="J79" s="21">
        <f>IF('Preencher pelo celular'!F454="","",'Preencher pelo celular'!F454)</f>
        <v/>
      </c>
      <c r="K79" s="21">
        <f>IF('Preencher pelo celular'!C455="","",'Preencher pelo celular'!C455)</f>
        <v/>
      </c>
      <c r="L79" s="21">
        <f>IF('Preencher pelo celular'!D455="","",'Preencher pelo celular'!D455)</f>
        <v/>
      </c>
      <c r="M79" s="21">
        <f>IF('Preencher pelo celular'!F455="","",'Preencher pelo celular'!F455)</f>
        <v/>
      </c>
      <c r="N79" s="21">
        <f>IF('Preencher pelo celular'!C456="","",'Preencher pelo celular'!C456)</f>
        <v/>
      </c>
      <c r="O79" s="21">
        <f>IF('Preencher pelo celular'!D456="","",'Preencher pelo celular'!D456)</f>
        <v/>
      </c>
      <c r="P79" s="21">
        <f>IF('Preencher pelo celular'!F456="","",'Preencher pelo celular'!F456)</f>
        <v/>
      </c>
      <c r="Q79" s="21">
        <f>IF('Preencher pelo celular'!C457="","",'Preencher pelo celular'!C457)</f>
        <v/>
      </c>
      <c r="R79" s="21">
        <f>IF('Preencher pelo celular'!D457="","",'Preencher pelo celular'!D457)</f>
        <v/>
      </c>
      <c r="S79" s="21">
        <f>IF('Preencher pelo celular'!F457="","",'Preencher pelo celular'!F457)</f>
        <v/>
      </c>
      <c r="T79" s="19">
        <f>IF(COUNT(B79,E79,H79,K79,N79,Q79)=0,"",AVERAGE(B79,E79,H79,K79,N79,Q79))</f>
        <v/>
      </c>
      <c r="U79" s="19">
        <f>IF(COUNT(D79,G79,J79,M79,P79,S79)=0,"",AVERAGE(D79,G79,J79,M79,P79,S79))</f>
        <v/>
      </c>
      <c r="V79" s="19">
        <f>IF(COUNT(C79,F79,I79,L79,O79,R79)=0,"",SUM(C79,F79,I79,L79,O79,R79))</f>
        <v/>
      </c>
    </row>
    <row r="80">
      <c r="A80" s="18">
        <f>'Preencher pelo celular'!A458</f>
        <v/>
      </c>
      <c r="B80" s="14">
        <f>IF('Preencher pelo celular'!C458="","",'Preencher pelo celular'!C458)</f>
        <v/>
      </c>
      <c r="C80" s="14">
        <f>IF('Preencher pelo celular'!D458="","",'Preencher pelo celular'!D458)</f>
        <v/>
      </c>
      <c r="D80" s="14">
        <f>IF('Preencher pelo celular'!F458="","",'Preencher pelo celular'!F458)</f>
        <v/>
      </c>
      <c r="E80" s="14">
        <f>IF('Preencher pelo celular'!C459="","",'Preencher pelo celular'!C459)</f>
        <v/>
      </c>
      <c r="F80" s="14">
        <f>IF('Preencher pelo celular'!D459="","",'Preencher pelo celular'!D459)</f>
        <v/>
      </c>
      <c r="G80" s="14">
        <f>IF('Preencher pelo celular'!F459="","",'Preencher pelo celular'!F459)</f>
        <v/>
      </c>
      <c r="H80" s="14">
        <f>IF('Preencher pelo celular'!C460="","",'Preencher pelo celular'!C460)</f>
        <v/>
      </c>
      <c r="I80" s="14">
        <f>IF('Preencher pelo celular'!D460="","",'Preencher pelo celular'!D460)</f>
        <v/>
      </c>
      <c r="J80" s="14">
        <f>IF('Preencher pelo celular'!F460="","",'Preencher pelo celular'!F460)</f>
        <v/>
      </c>
      <c r="K80" s="14">
        <f>IF('Preencher pelo celular'!C461="","",'Preencher pelo celular'!C461)</f>
        <v/>
      </c>
      <c r="L80" s="14">
        <f>IF('Preencher pelo celular'!D461="","",'Preencher pelo celular'!D461)</f>
        <v/>
      </c>
      <c r="M80" s="14">
        <f>IF('Preencher pelo celular'!F461="","",'Preencher pelo celular'!F461)</f>
        <v/>
      </c>
      <c r="N80" s="14">
        <f>IF('Preencher pelo celular'!C462="","",'Preencher pelo celular'!C462)</f>
        <v/>
      </c>
      <c r="O80" s="14">
        <f>IF('Preencher pelo celular'!D462="","",'Preencher pelo celular'!D462)</f>
        <v/>
      </c>
      <c r="P80" s="14">
        <f>IF('Preencher pelo celular'!F462="","",'Preencher pelo celular'!F462)</f>
        <v/>
      </c>
      <c r="Q80" s="14">
        <f>IF('Preencher pelo celular'!C463="","",'Preencher pelo celular'!C463)</f>
        <v/>
      </c>
      <c r="R80" s="14">
        <f>IF('Preencher pelo celular'!D463="","",'Preencher pelo celular'!D463)</f>
        <v/>
      </c>
      <c r="S80" s="14">
        <f>IF('Preencher pelo celular'!F463="","",'Preencher pelo celular'!F463)</f>
        <v/>
      </c>
      <c r="T80" s="19">
        <f>IF(COUNT(B80,E80,H80,K80,N80,Q80)=0,"",AVERAGE(B80,E80,H80,K80,N80,Q80))</f>
        <v/>
      </c>
      <c r="U80" s="19">
        <f>IF(COUNT(D80,G80,J80,M80,P80,S80)=0,"",AVERAGE(D80,G80,J80,M80,P80,S80))</f>
        <v/>
      </c>
      <c r="V80" s="19">
        <f>IF(COUNT(C80,F80,I80,L80,O80,R80)=0,"",SUM(C80,F80,I80,L80,O80,R80))</f>
        <v/>
      </c>
    </row>
    <row r="81">
      <c r="A81" s="20">
        <f>'Preencher pelo celular'!A464</f>
        <v/>
      </c>
      <c r="B81" s="21">
        <f>IF('Preencher pelo celular'!C464="","",'Preencher pelo celular'!C464)</f>
        <v/>
      </c>
      <c r="C81" s="21">
        <f>IF('Preencher pelo celular'!D464="","",'Preencher pelo celular'!D464)</f>
        <v/>
      </c>
      <c r="D81" s="21">
        <f>IF('Preencher pelo celular'!F464="","",'Preencher pelo celular'!F464)</f>
        <v/>
      </c>
      <c r="E81" s="21">
        <f>IF('Preencher pelo celular'!C465="","",'Preencher pelo celular'!C465)</f>
        <v/>
      </c>
      <c r="F81" s="21">
        <f>IF('Preencher pelo celular'!D465="","",'Preencher pelo celular'!D465)</f>
        <v/>
      </c>
      <c r="G81" s="21">
        <f>IF('Preencher pelo celular'!F465="","",'Preencher pelo celular'!F465)</f>
        <v/>
      </c>
      <c r="H81" s="21">
        <f>IF('Preencher pelo celular'!C466="","",'Preencher pelo celular'!C466)</f>
        <v/>
      </c>
      <c r="I81" s="21">
        <f>IF('Preencher pelo celular'!D466="","",'Preencher pelo celular'!D466)</f>
        <v/>
      </c>
      <c r="J81" s="21">
        <f>IF('Preencher pelo celular'!F466="","",'Preencher pelo celular'!F466)</f>
        <v/>
      </c>
      <c r="K81" s="21">
        <f>IF('Preencher pelo celular'!C467="","",'Preencher pelo celular'!C467)</f>
        <v/>
      </c>
      <c r="L81" s="21">
        <f>IF('Preencher pelo celular'!D467="","",'Preencher pelo celular'!D467)</f>
        <v/>
      </c>
      <c r="M81" s="21">
        <f>IF('Preencher pelo celular'!F467="","",'Preencher pelo celular'!F467)</f>
        <v/>
      </c>
      <c r="N81" s="21">
        <f>IF('Preencher pelo celular'!C468="","",'Preencher pelo celular'!C468)</f>
        <v/>
      </c>
      <c r="O81" s="21">
        <f>IF('Preencher pelo celular'!D468="","",'Preencher pelo celular'!D468)</f>
        <v/>
      </c>
      <c r="P81" s="21">
        <f>IF('Preencher pelo celular'!F468="","",'Preencher pelo celular'!F468)</f>
        <v/>
      </c>
      <c r="Q81" s="21">
        <f>IF('Preencher pelo celular'!C469="","",'Preencher pelo celular'!C469)</f>
        <v/>
      </c>
      <c r="R81" s="21">
        <f>IF('Preencher pelo celular'!D469="","",'Preencher pelo celular'!D469)</f>
        <v/>
      </c>
      <c r="S81" s="21">
        <f>IF('Preencher pelo celular'!F469="","",'Preencher pelo celular'!F469)</f>
        <v/>
      </c>
      <c r="T81" s="19">
        <f>IF(COUNT(B81,E81,H81,K81,N81,Q81)=0,"",AVERAGE(B81,E81,H81,K81,N81,Q81))</f>
        <v/>
      </c>
      <c r="U81" s="19">
        <f>IF(COUNT(D81,G81,J81,M81,P81,S81)=0,"",AVERAGE(D81,G81,J81,M81,P81,S81))</f>
        <v/>
      </c>
      <c r="V81" s="19">
        <f>IF(COUNT(C81,F81,I81,L81,O81,R81)=0,"",SUM(C81,F81,I81,L81,O81,R81))</f>
        <v/>
      </c>
    </row>
    <row r="82">
      <c r="A82" s="18">
        <f>'Preencher pelo celular'!A470</f>
        <v/>
      </c>
      <c r="B82" s="14">
        <f>IF('Preencher pelo celular'!C470="","",'Preencher pelo celular'!C470)</f>
        <v/>
      </c>
      <c r="C82" s="14">
        <f>IF('Preencher pelo celular'!D470="","",'Preencher pelo celular'!D470)</f>
        <v/>
      </c>
      <c r="D82" s="14">
        <f>IF('Preencher pelo celular'!F470="","",'Preencher pelo celular'!F470)</f>
        <v/>
      </c>
      <c r="E82" s="14">
        <f>IF('Preencher pelo celular'!C471="","",'Preencher pelo celular'!C471)</f>
        <v/>
      </c>
      <c r="F82" s="14">
        <f>IF('Preencher pelo celular'!D471="","",'Preencher pelo celular'!D471)</f>
        <v/>
      </c>
      <c r="G82" s="14">
        <f>IF('Preencher pelo celular'!F471="","",'Preencher pelo celular'!F471)</f>
        <v/>
      </c>
      <c r="H82" s="14">
        <f>IF('Preencher pelo celular'!C472="","",'Preencher pelo celular'!C472)</f>
        <v/>
      </c>
      <c r="I82" s="14">
        <f>IF('Preencher pelo celular'!D472="","",'Preencher pelo celular'!D472)</f>
        <v/>
      </c>
      <c r="J82" s="14">
        <f>IF('Preencher pelo celular'!F472="","",'Preencher pelo celular'!F472)</f>
        <v/>
      </c>
      <c r="K82" s="14">
        <f>IF('Preencher pelo celular'!C473="","",'Preencher pelo celular'!C473)</f>
        <v/>
      </c>
      <c r="L82" s="14">
        <f>IF('Preencher pelo celular'!D473="","",'Preencher pelo celular'!D473)</f>
        <v/>
      </c>
      <c r="M82" s="14">
        <f>IF('Preencher pelo celular'!F473="","",'Preencher pelo celular'!F473)</f>
        <v/>
      </c>
      <c r="N82" s="14">
        <f>IF('Preencher pelo celular'!C474="","",'Preencher pelo celular'!C474)</f>
        <v/>
      </c>
      <c r="O82" s="14">
        <f>IF('Preencher pelo celular'!D474="","",'Preencher pelo celular'!D474)</f>
        <v/>
      </c>
      <c r="P82" s="14">
        <f>IF('Preencher pelo celular'!F474="","",'Preencher pelo celular'!F474)</f>
        <v/>
      </c>
      <c r="Q82" s="14">
        <f>IF('Preencher pelo celular'!C475="","",'Preencher pelo celular'!C475)</f>
        <v/>
      </c>
      <c r="R82" s="14">
        <f>IF('Preencher pelo celular'!D475="","",'Preencher pelo celular'!D475)</f>
        <v/>
      </c>
      <c r="S82" s="14">
        <f>IF('Preencher pelo celular'!F475="","",'Preencher pelo celular'!F475)</f>
        <v/>
      </c>
      <c r="T82" s="19">
        <f>IF(COUNT(B82,E82,H82,K82,N82,Q82)=0,"",AVERAGE(B82,E82,H82,K82,N82,Q82))</f>
        <v/>
      </c>
      <c r="U82" s="19">
        <f>IF(COUNT(D82,G82,J82,M82,P82,S82)=0,"",AVERAGE(D82,G82,J82,M82,P82,S82))</f>
        <v/>
      </c>
      <c r="V82" s="19">
        <f>IF(COUNT(C82,F82,I82,L82,O82,R82)=0,"",SUM(C82,F82,I82,L82,O82,R82))</f>
        <v/>
      </c>
    </row>
    <row r="83">
      <c r="A83" s="20">
        <f>'Preencher pelo celular'!A476</f>
        <v/>
      </c>
      <c r="B83" s="21">
        <f>IF('Preencher pelo celular'!C476="","",'Preencher pelo celular'!C476)</f>
        <v/>
      </c>
      <c r="C83" s="21">
        <f>IF('Preencher pelo celular'!D476="","",'Preencher pelo celular'!D476)</f>
        <v/>
      </c>
      <c r="D83" s="21">
        <f>IF('Preencher pelo celular'!F476="","",'Preencher pelo celular'!F476)</f>
        <v/>
      </c>
      <c r="E83" s="21">
        <f>IF('Preencher pelo celular'!C477="","",'Preencher pelo celular'!C477)</f>
        <v/>
      </c>
      <c r="F83" s="21">
        <f>IF('Preencher pelo celular'!D477="","",'Preencher pelo celular'!D477)</f>
        <v/>
      </c>
      <c r="G83" s="21">
        <f>IF('Preencher pelo celular'!F477="","",'Preencher pelo celular'!F477)</f>
        <v/>
      </c>
      <c r="H83" s="21">
        <f>IF('Preencher pelo celular'!C478="","",'Preencher pelo celular'!C478)</f>
        <v/>
      </c>
      <c r="I83" s="21">
        <f>IF('Preencher pelo celular'!D478="","",'Preencher pelo celular'!D478)</f>
        <v/>
      </c>
      <c r="J83" s="21">
        <f>IF('Preencher pelo celular'!F478="","",'Preencher pelo celular'!F478)</f>
        <v/>
      </c>
      <c r="K83" s="21">
        <f>IF('Preencher pelo celular'!C479="","",'Preencher pelo celular'!C479)</f>
        <v/>
      </c>
      <c r="L83" s="21">
        <f>IF('Preencher pelo celular'!D479="","",'Preencher pelo celular'!D479)</f>
        <v/>
      </c>
      <c r="M83" s="21">
        <f>IF('Preencher pelo celular'!F479="","",'Preencher pelo celular'!F479)</f>
        <v/>
      </c>
      <c r="N83" s="21">
        <f>IF('Preencher pelo celular'!C480="","",'Preencher pelo celular'!C480)</f>
        <v/>
      </c>
      <c r="O83" s="21">
        <f>IF('Preencher pelo celular'!D480="","",'Preencher pelo celular'!D480)</f>
        <v/>
      </c>
      <c r="P83" s="21">
        <f>IF('Preencher pelo celular'!F480="","",'Preencher pelo celular'!F480)</f>
        <v/>
      </c>
      <c r="Q83" s="21">
        <f>IF('Preencher pelo celular'!C481="","",'Preencher pelo celular'!C481)</f>
        <v/>
      </c>
      <c r="R83" s="21">
        <f>IF('Preencher pelo celular'!D481="","",'Preencher pelo celular'!D481)</f>
        <v/>
      </c>
      <c r="S83" s="21">
        <f>IF('Preencher pelo celular'!F481="","",'Preencher pelo celular'!F481)</f>
        <v/>
      </c>
      <c r="T83" s="19">
        <f>IF(COUNT(B83,E83,H83,K83,N83,Q83)=0,"",AVERAGE(B83,E83,H83,K83,N83,Q83))</f>
        <v/>
      </c>
      <c r="U83" s="19">
        <f>IF(COUNT(D83,G83,J83,M83,P83,S83)=0,"",AVERAGE(D83,G83,J83,M83,P83,S83))</f>
        <v/>
      </c>
      <c r="V83" s="19">
        <f>IF(COUNT(C83,F83,I83,L83,O83,R83)=0,"",SUM(C83,F83,I83,L83,O83,R83))</f>
        <v/>
      </c>
    </row>
    <row r="84">
      <c r="A84" s="18">
        <f>'Preencher pelo celular'!A482</f>
        <v/>
      </c>
      <c r="B84" s="14">
        <f>IF('Preencher pelo celular'!C482="","",'Preencher pelo celular'!C482)</f>
        <v/>
      </c>
      <c r="C84" s="14">
        <f>IF('Preencher pelo celular'!D482="","",'Preencher pelo celular'!D482)</f>
        <v/>
      </c>
      <c r="D84" s="14">
        <f>IF('Preencher pelo celular'!F482="","",'Preencher pelo celular'!F482)</f>
        <v/>
      </c>
      <c r="E84" s="14">
        <f>IF('Preencher pelo celular'!C483="","",'Preencher pelo celular'!C483)</f>
        <v/>
      </c>
      <c r="F84" s="14">
        <f>IF('Preencher pelo celular'!D483="","",'Preencher pelo celular'!D483)</f>
        <v/>
      </c>
      <c r="G84" s="14">
        <f>IF('Preencher pelo celular'!F483="","",'Preencher pelo celular'!F483)</f>
        <v/>
      </c>
      <c r="H84" s="14">
        <f>IF('Preencher pelo celular'!C484="","",'Preencher pelo celular'!C484)</f>
        <v/>
      </c>
      <c r="I84" s="14">
        <f>IF('Preencher pelo celular'!D484="","",'Preencher pelo celular'!D484)</f>
        <v/>
      </c>
      <c r="J84" s="14">
        <f>IF('Preencher pelo celular'!F484="","",'Preencher pelo celular'!F484)</f>
        <v/>
      </c>
      <c r="K84" s="14">
        <f>IF('Preencher pelo celular'!C485="","",'Preencher pelo celular'!C485)</f>
        <v/>
      </c>
      <c r="L84" s="14">
        <f>IF('Preencher pelo celular'!D485="","",'Preencher pelo celular'!D485)</f>
        <v/>
      </c>
      <c r="M84" s="14">
        <f>IF('Preencher pelo celular'!F485="","",'Preencher pelo celular'!F485)</f>
        <v/>
      </c>
      <c r="N84" s="14">
        <f>IF('Preencher pelo celular'!C486="","",'Preencher pelo celular'!C486)</f>
        <v/>
      </c>
      <c r="O84" s="14">
        <f>IF('Preencher pelo celular'!D486="","",'Preencher pelo celular'!D486)</f>
        <v/>
      </c>
      <c r="P84" s="14">
        <f>IF('Preencher pelo celular'!F486="","",'Preencher pelo celular'!F486)</f>
        <v/>
      </c>
      <c r="Q84" s="14">
        <f>IF('Preencher pelo celular'!C487="","",'Preencher pelo celular'!C487)</f>
        <v/>
      </c>
      <c r="R84" s="14">
        <f>IF('Preencher pelo celular'!D487="","",'Preencher pelo celular'!D487)</f>
        <v/>
      </c>
      <c r="S84" s="14">
        <f>IF('Preencher pelo celular'!F487="","",'Preencher pelo celular'!F487)</f>
        <v/>
      </c>
      <c r="T84" s="19">
        <f>IF(COUNT(B84,E84,H84,K84,N84,Q84)=0,"",AVERAGE(B84,E84,H84,K84,N84,Q84))</f>
        <v/>
      </c>
      <c r="U84" s="19">
        <f>IF(COUNT(D84,G84,J84,M84,P84,S84)=0,"",AVERAGE(D84,G84,J84,M84,P84,S84))</f>
        <v/>
      </c>
      <c r="V84" s="19">
        <f>IF(COUNT(C84,F84,I84,L84,O84,R84)=0,"",SUM(C84,F84,I84,L84,O84,R84))</f>
        <v/>
      </c>
    </row>
    <row r="85">
      <c r="A85" s="20">
        <f>'Preencher pelo celular'!A488</f>
        <v/>
      </c>
      <c r="B85" s="21">
        <f>IF('Preencher pelo celular'!C488="","",'Preencher pelo celular'!C488)</f>
        <v/>
      </c>
      <c r="C85" s="21">
        <f>IF('Preencher pelo celular'!D488="","",'Preencher pelo celular'!D488)</f>
        <v/>
      </c>
      <c r="D85" s="21">
        <f>IF('Preencher pelo celular'!F488="","",'Preencher pelo celular'!F488)</f>
        <v/>
      </c>
      <c r="E85" s="21">
        <f>IF('Preencher pelo celular'!C489="","",'Preencher pelo celular'!C489)</f>
        <v/>
      </c>
      <c r="F85" s="21">
        <f>IF('Preencher pelo celular'!D489="","",'Preencher pelo celular'!D489)</f>
        <v/>
      </c>
      <c r="G85" s="21">
        <f>IF('Preencher pelo celular'!F489="","",'Preencher pelo celular'!F489)</f>
        <v/>
      </c>
      <c r="H85" s="21">
        <f>IF('Preencher pelo celular'!C490="","",'Preencher pelo celular'!C490)</f>
        <v/>
      </c>
      <c r="I85" s="21">
        <f>IF('Preencher pelo celular'!D490="","",'Preencher pelo celular'!D490)</f>
        <v/>
      </c>
      <c r="J85" s="21">
        <f>IF('Preencher pelo celular'!F490="","",'Preencher pelo celular'!F490)</f>
        <v/>
      </c>
      <c r="K85" s="21">
        <f>IF('Preencher pelo celular'!C491="","",'Preencher pelo celular'!C491)</f>
        <v/>
      </c>
      <c r="L85" s="21">
        <f>IF('Preencher pelo celular'!D491="","",'Preencher pelo celular'!D491)</f>
        <v/>
      </c>
      <c r="M85" s="21">
        <f>IF('Preencher pelo celular'!F491="","",'Preencher pelo celular'!F491)</f>
        <v/>
      </c>
      <c r="N85" s="21">
        <f>IF('Preencher pelo celular'!C492="","",'Preencher pelo celular'!C492)</f>
        <v/>
      </c>
      <c r="O85" s="21">
        <f>IF('Preencher pelo celular'!D492="","",'Preencher pelo celular'!D492)</f>
        <v/>
      </c>
      <c r="P85" s="21">
        <f>IF('Preencher pelo celular'!F492="","",'Preencher pelo celular'!F492)</f>
        <v/>
      </c>
      <c r="Q85" s="21">
        <f>IF('Preencher pelo celular'!C493="","",'Preencher pelo celular'!C493)</f>
        <v/>
      </c>
      <c r="R85" s="21">
        <f>IF('Preencher pelo celular'!D493="","",'Preencher pelo celular'!D493)</f>
        <v/>
      </c>
      <c r="S85" s="21">
        <f>IF('Preencher pelo celular'!F493="","",'Preencher pelo celular'!F493)</f>
        <v/>
      </c>
      <c r="T85" s="19">
        <f>IF(COUNT(B85,E85,H85,K85,N85,Q85)=0,"",AVERAGE(B85,E85,H85,K85,N85,Q85))</f>
        <v/>
      </c>
      <c r="U85" s="19">
        <f>IF(COUNT(D85,G85,J85,M85,P85,S85)=0,"",AVERAGE(D85,G85,J85,M85,P85,S85))</f>
        <v/>
      </c>
      <c r="V85" s="19">
        <f>IF(COUNT(C85,F85,I85,L85,O85,R85)=0,"",SUM(C85,F85,I85,L85,O85,R85))</f>
        <v/>
      </c>
    </row>
    <row r="86">
      <c r="A86" s="18">
        <f>'Preencher pelo celular'!A494</f>
        <v/>
      </c>
      <c r="B86" s="14">
        <f>IF('Preencher pelo celular'!C494="","",'Preencher pelo celular'!C494)</f>
        <v/>
      </c>
      <c r="C86" s="14">
        <f>IF('Preencher pelo celular'!D494="","",'Preencher pelo celular'!D494)</f>
        <v/>
      </c>
      <c r="D86" s="14">
        <f>IF('Preencher pelo celular'!F494="","",'Preencher pelo celular'!F494)</f>
        <v/>
      </c>
      <c r="E86" s="14">
        <f>IF('Preencher pelo celular'!C495="","",'Preencher pelo celular'!C495)</f>
        <v/>
      </c>
      <c r="F86" s="14">
        <f>IF('Preencher pelo celular'!D495="","",'Preencher pelo celular'!D495)</f>
        <v/>
      </c>
      <c r="G86" s="14">
        <f>IF('Preencher pelo celular'!F495="","",'Preencher pelo celular'!F495)</f>
        <v/>
      </c>
      <c r="H86" s="14">
        <f>IF('Preencher pelo celular'!C496="","",'Preencher pelo celular'!C496)</f>
        <v/>
      </c>
      <c r="I86" s="14">
        <f>IF('Preencher pelo celular'!D496="","",'Preencher pelo celular'!D496)</f>
        <v/>
      </c>
      <c r="J86" s="14">
        <f>IF('Preencher pelo celular'!F496="","",'Preencher pelo celular'!F496)</f>
        <v/>
      </c>
      <c r="K86" s="14">
        <f>IF('Preencher pelo celular'!C497="","",'Preencher pelo celular'!C497)</f>
        <v/>
      </c>
      <c r="L86" s="14">
        <f>IF('Preencher pelo celular'!D497="","",'Preencher pelo celular'!D497)</f>
        <v/>
      </c>
      <c r="M86" s="14">
        <f>IF('Preencher pelo celular'!F497="","",'Preencher pelo celular'!F497)</f>
        <v/>
      </c>
      <c r="N86" s="14">
        <f>IF('Preencher pelo celular'!C498="","",'Preencher pelo celular'!C498)</f>
        <v/>
      </c>
      <c r="O86" s="14">
        <f>IF('Preencher pelo celular'!D498="","",'Preencher pelo celular'!D498)</f>
        <v/>
      </c>
      <c r="P86" s="14">
        <f>IF('Preencher pelo celular'!F498="","",'Preencher pelo celular'!F498)</f>
        <v/>
      </c>
      <c r="Q86" s="14">
        <f>IF('Preencher pelo celular'!C499="","",'Preencher pelo celular'!C499)</f>
        <v/>
      </c>
      <c r="R86" s="14">
        <f>IF('Preencher pelo celular'!D499="","",'Preencher pelo celular'!D499)</f>
        <v/>
      </c>
      <c r="S86" s="14">
        <f>IF('Preencher pelo celular'!F499="","",'Preencher pelo celular'!F499)</f>
        <v/>
      </c>
      <c r="T86" s="19">
        <f>IF(COUNT(B86,E86,H86,K86,N86,Q86)=0,"",AVERAGE(B86,E86,H86,K86,N86,Q86))</f>
        <v/>
      </c>
      <c r="U86" s="19">
        <f>IF(COUNT(D86,G86,J86,M86,P86,S86)=0,"",AVERAGE(D86,G86,J86,M86,P86,S86))</f>
        <v/>
      </c>
      <c r="V86" s="19">
        <f>IF(COUNT(C86,F86,I86,L86,O86,R86)=0,"",SUM(C86,F86,I86,L86,O86,R86))</f>
        <v/>
      </c>
    </row>
    <row r="87">
      <c r="A87" s="20">
        <f>'Preencher pelo celular'!A500</f>
        <v/>
      </c>
      <c r="B87" s="21">
        <f>IF('Preencher pelo celular'!C500="","",'Preencher pelo celular'!C500)</f>
        <v/>
      </c>
      <c r="C87" s="21">
        <f>IF('Preencher pelo celular'!D500="","",'Preencher pelo celular'!D500)</f>
        <v/>
      </c>
      <c r="D87" s="21">
        <f>IF('Preencher pelo celular'!F500="","",'Preencher pelo celular'!F500)</f>
        <v/>
      </c>
      <c r="E87" s="21">
        <f>IF('Preencher pelo celular'!C501="","",'Preencher pelo celular'!C501)</f>
        <v/>
      </c>
      <c r="F87" s="21">
        <f>IF('Preencher pelo celular'!D501="","",'Preencher pelo celular'!D501)</f>
        <v/>
      </c>
      <c r="G87" s="21">
        <f>IF('Preencher pelo celular'!F501="","",'Preencher pelo celular'!F501)</f>
        <v/>
      </c>
      <c r="H87" s="21">
        <f>IF('Preencher pelo celular'!C502="","",'Preencher pelo celular'!C502)</f>
        <v/>
      </c>
      <c r="I87" s="21">
        <f>IF('Preencher pelo celular'!D502="","",'Preencher pelo celular'!D502)</f>
        <v/>
      </c>
      <c r="J87" s="21">
        <f>IF('Preencher pelo celular'!F502="","",'Preencher pelo celular'!F502)</f>
        <v/>
      </c>
      <c r="K87" s="21">
        <f>IF('Preencher pelo celular'!C503="","",'Preencher pelo celular'!C503)</f>
        <v/>
      </c>
      <c r="L87" s="21">
        <f>IF('Preencher pelo celular'!D503="","",'Preencher pelo celular'!D503)</f>
        <v/>
      </c>
      <c r="M87" s="21">
        <f>IF('Preencher pelo celular'!F503="","",'Preencher pelo celular'!F503)</f>
        <v/>
      </c>
      <c r="N87" s="21">
        <f>IF('Preencher pelo celular'!C504="","",'Preencher pelo celular'!C504)</f>
        <v/>
      </c>
      <c r="O87" s="21">
        <f>IF('Preencher pelo celular'!D504="","",'Preencher pelo celular'!D504)</f>
        <v/>
      </c>
      <c r="P87" s="21">
        <f>IF('Preencher pelo celular'!F504="","",'Preencher pelo celular'!F504)</f>
        <v/>
      </c>
      <c r="Q87" s="21">
        <f>IF('Preencher pelo celular'!C505="","",'Preencher pelo celular'!C505)</f>
        <v/>
      </c>
      <c r="R87" s="21">
        <f>IF('Preencher pelo celular'!D505="","",'Preencher pelo celular'!D505)</f>
        <v/>
      </c>
      <c r="S87" s="21">
        <f>IF('Preencher pelo celular'!F505="","",'Preencher pelo celular'!F505)</f>
        <v/>
      </c>
      <c r="T87" s="19">
        <f>IF(COUNT(B87,E87,H87,K87,N87,Q87)=0,"",AVERAGE(B87,E87,H87,K87,N87,Q87))</f>
        <v/>
      </c>
      <c r="U87" s="19">
        <f>IF(COUNT(D87,G87,J87,M87,P87,S87)=0,"",AVERAGE(D87,G87,J87,M87,P87,S87))</f>
        <v/>
      </c>
      <c r="V87" s="19">
        <f>IF(COUNT(C87,F87,I87,L87,O87,R87)=0,"",SUM(C87,F87,I87,L87,O87,R87))</f>
        <v/>
      </c>
    </row>
    <row r="88">
      <c r="A88" s="18">
        <f>'Preencher pelo celular'!A506</f>
        <v/>
      </c>
      <c r="B88" s="14">
        <f>IF('Preencher pelo celular'!C506="","",'Preencher pelo celular'!C506)</f>
        <v/>
      </c>
      <c r="C88" s="14">
        <f>IF('Preencher pelo celular'!D506="","",'Preencher pelo celular'!D506)</f>
        <v/>
      </c>
      <c r="D88" s="14">
        <f>IF('Preencher pelo celular'!F506="","",'Preencher pelo celular'!F506)</f>
        <v/>
      </c>
      <c r="E88" s="14">
        <f>IF('Preencher pelo celular'!C507="","",'Preencher pelo celular'!C507)</f>
        <v/>
      </c>
      <c r="F88" s="14">
        <f>IF('Preencher pelo celular'!D507="","",'Preencher pelo celular'!D507)</f>
        <v/>
      </c>
      <c r="G88" s="14">
        <f>IF('Preencher pelo celular'!F507="","",'Preencher pelo celular'!F507)</f>
        <v/>
      </c>
      <c r="H88" s="14">
        <f>IF('Preencher pelo celular'!C508="","",'Preencher pelo celular'!C508)</f>
        <v/>
      </c>
      <c r="I88" s="14">
        <f>IF('Preencher pelo celular'!D508="","",'Preencher pelo celular'!D508)</f>
        <v/>
      </c>
      <c r="J88" s="14">
        <f>IF('Preencher pelo celular'!F508="","",'Preencher pelo celular'!F508)</f>
        <v/>
      </c>
      <c r="K88" s="14">
        <f>IF('Preencher pelo celular'!C509="","",'Preencher pelo celular'!C509)</f>
        <v/>
      </c>
      <c r="L88" s="14">
        <f>IF('Preencher pelo celular'!D509="","",'Preencher pelo celular'!D509)</f>
        <v/>
      </c>
      <c r="M88" s="14">
        <f>IF('Preencher pelo celular'!F509="","",'Preencher pelo celular'!F509)</f>
        <v/>
      </c>
      <c r="N88" s="14">
        <f>IF('Preencher pelo celular'!C510="","",'Preencher pelo celular'!C510)</f>
        <v/>
      </c>
      <c r="O88" s="14">
        <f>IF('Preencher pelo celular'!D510="","",'Preencher pelo celular'!D510)</f>
        <v/>
      </c>
      <c r="P88" s="14">
        <f>IF('Preencher pelo celular'!F510="","",'Preencher pelo celular'!F510)</f>
        <v/>
      </c>
      <c r="Q88" s="14">
        <f>IF('Preencher pelo celular'!C511="","",'Preencher pelo celular'!C511)</f>
        <v/>
      </c>
      <c r="R88" s="14">
        <f>IF('Preencher pelo celular'!D511="","",'Preencher pelo celular'!D511)</f>
        <v/>
      </c>
      <c r="S88" s="14">
        <f>IF('Preencher pelo celular'!F511="","",'Preencher pelo celular'!F511)</f>
        <v/>
      </c>
      <c r="T88" s="19">
        <f>IF(COUNT(B88,E88,H88,K88,N88,Q88)=0,"",AVERAGE(B88,E88,H88,K88,N88,Q88))</f>
        <v/>
      </c>
      <c r="U88" s="19">
        <f>IF(COUNT(D88,G88,J88,M88,P88,S88)=0,"",AVERAGE(D88,G88,J88,M88,P88,S88))</f>
        <v/>
      </c>
      <c r="V88" s="19">
        <f>IF(COUNT(C88,F88,I88,L88,O88,R88)=0,"",SUM(C88,F88,I88,L88,O88,R88))</f>
        <v/>
      </c>
    </row>
    <row r="89">
      <c r="A89" s="20">
        <f>'Preencher pelo celular'!A512</f>
        <v/>
      </c>
      <c r="B89" s="21">
        <f>IF('Preencher pelo celular'!C512="","",'Preencher pelo celular'!C512)</f>
        <v/>
      </c>
      <c r="C89" s="21">
        <f>IF('Preencher pelo celular'!D512="","",'Preencher pelo celular'!D512)</f>
        <v/>
      </c>
      <c r="D89" s="21">
        <f>IF('Preencher pelo celular'!F512="","",'Preencher pelo celular'!F512)</f>
        <v/>
      </c>
      <c r="E89" s="21">
        <f>IF('Preencher pelo celular'!C513="","",'Preencher pelo celular'!C513)</f>
        <v/>
      </c>
      <c r="F89" s="21">
        <f>IF('Preencher pelo celular'!D513="","",'Preencher pelo celular'!D513)</f>
        <v/>
      </c>
      <c r="G89" s="21">
        <f>IF('Preencher pelo celular'!F513="","",'Preencher pelo celular'!F513)</f>
        <v/>
      </c>
      <c r="H89" s="21">
        <f>IF('Preencher pelo celular'!C514="","",'Preencher pelo celular'!C514)</f>
        <v/>
      </c>
      <c r="I89" s="21">
        <f>IF('Preencher pelo celular'!D514="","",'Preencher pelo celular'!D514)</f>
        <v/>
      </c>
      <c r="J89" s="21">
        <f>IF('Preencher pelo celular'!F514="","",'Preencher pelo celular'!F514)</f>
        <v/>
      </c>
      <c r="K89" s="21">
        <f>IF('Preencher pelo celular'!C515="","",'Preencher pelo celular'!C515)</f>
        <v/>
      </c>
      <c r="L89" s="21">
        <f>IF('Preencher pelo celular'!D515="","",'Preencher pelo celular'!D515)</f>
        <v/>
      </c>
      <c r="M89" s="21">
        <f>IF('Preencher pelo celular'!F515="","",'Preencher pelo celular'!F515)</f>
        <v/>
      </c>
      <c r="N89" s="21">
        <f>IF('Preencher pelo celular'!C516="","",'Preencher pelo celular'!C516)</f>
        <v/>
      </c>
      <c r="O89" s="21">
        <f>IF('Preencher pelo celular'!D516="","",'Preencher pelo celular'!D516)</f>
        <v/>
      </c>
      <c r="P89" s="21">
        <f>IF('Preencher pelo celular'!F516="","",'Preencher pelo celular'!F516)</f>
        <v/>
      </c>
      <c r="Q89" s="21">
        <f>IF('Preencher pelo celular'!C517="","",'Preencher pelo celular'!C517)</f>
        <v/>
      </c>
      <c r="R89" s="21">
        <f>IF('Preencher pelo celular'!D517="","",'Preencher pelo celular'!D517)</f>
        <v/>
      </c>
      <c r="S89" s="21">
        <f>IF('Preencher pelo celular'!F517="","",'Preencher pelo celular'!F517)</f>
        <v/>
      </c>
      <c r="T89" s="19">
        <f>IF(COUNT(B89,E89,H89,K89,N89,Q89)=0,"",AVERAGE(B89,E89,H89,K89,N89,Q89))</f>
        <v/>
      </c>
      <c r="U89" s="19">
        <f>IF(COUNT(D89,G89,J89,M89,P89,S89)=0,"",AVERAGE(D89,G89,J89,M89,P89,S89))</f>
        <v/>
      </c>
      <c r="V89" s="19">
        <f>IF(COUNT(C89,F89,I89,L89,O89,R89)=0,"",SUM(C89,F89,I89,L89,O89,R89))</f>
        <v/>
      </c>
    </row>
    <row r="90">
      <c r="A90" s="18">
        <f>'Preencher pelo celular'!A518</f>
        <v/>
      </c>
      <c r="B90" s="14">
        <f>IF('Preencher pelo celular'!C518="","",'Preencher pelo celular'!C518)</f>
        <v/>
      </c>
      <c r="C90" s="14">
        <f>IF('Preencher pelo celular'!D518="","",'Preencher pelo celular'!D518)</f>
        <v/>
      </c>
      <c r="D90" s="14">
        <f>IF('Preencher pelo celular'!F518="","",'Preencher pelo celular'!F518)</f>
        <v/>
      </c>
      <c r="E90" s="14">
        <f>IF('Preencher pelo celular'!C519="","",'Preencher pelo celular'!C519)</f>
        <v/>
      </c>
      <c r="F90" s="14">
        <f>IF('Preencher pelo celular'!D519="","",'Preencher pelo celular'!D519)</f>
        <v/>
      </c>
      <c r="G90" s="14">
        <f>IF('Preencher pelo celular'!F519="","",'Preencher pelo celular'!F519)</f>
        <v/>
      </c>
      <c r="H90" s="14">
        <f>IF('Preencher pelo celular'!C520="","",'Preencher pelo celular'!C520)</f>
        <v/>
      </c>
      <c r="I90" s="14">
        <f>IF('Preencher pelo celular'!D520="","",'Preencher pelo celular'!D520)</f>
        <v/>
      </c>
      <c r="J90" s="14">
        <f>IF('Preencher pelo celular'!F520="","",'Preencher pelo celular'!F520)</f>
        <v/>
      </c>
      <c r="K90" s="14">
        <f>IF('Preencher pelo celular'!C521="","",'Preencher pelo celular'!C521)</f>
        <v/>
      </c>
      <c r="L90" s="14">
        <f>IF('Preencher pelo celular'!D521="","",'Preencher pelo celular'!D521)</f>
        <v/>
      </c>
      <c r="M90" s="14">
        <f>IF('Preencher pelo celular'!F521="","",'Preencher pelo celular'!F521)</f>
        <v/>
      </c>
      <c r="N90" s="14">
        <f>IF('Preencher pelo celular'!C522="","",'Preencher pelo celular'!C522)</f>
        <v/>
      </c>
      <c r="O90" s="14">
        <f>IF('Preencher pelo celular'!D522="","",'Preencher pelo celular'!D522)</f>
        <v/>
      </c>
      <c r="P90" s="14">
        <f>IF('Preencher pelo celular'!F522="","",'Preencher pelo celular'!F522)</f>
        <v/>
      </c>
      <c r="Q90" s="14">
        <f>IF('Preencher pelo celular'!C523="","",'Preencher pelo celular'!C523)</f>
        <v/>
      </c>
      <c r="R90" s="14">
        <f>IF('Preencher pelo celular'!D523="","",'Preencher pelo celular'!D523)</f>
        <v/>
      </c>
      <c r="S90" s="14">
        <f>IF('Preencher pelo celular'!F523="","",'Preencher pelo celular'!F523)</f>
        <v/>
      </c>
      <c r="T90" s="19">
        <f>IF(COUNT(B90,E90,H90,K90,N90,Q90)=0,"",AVERAGE(B90,E90,H90,K90,N90,Q90))</f>
        <v/>
      </c>
      <c r="U90" s="19">
        <f>IF(COUNT(D90,G90,J90,M90,P90,S90)=0,"",AVERAGE(D90,G90,J90,M90,P90,S90))</f>
        <v/>
      </c>
      <c r="V90" s="19">
        <f>IF(COUNT(C90,F90,I90,L90,O90,R90)=0,"",SUM(C90,F90,I90,L90,O90,R90))</f>
        <v/>
      </c>
    </row>
    <row r="91">
      <c r="A91" s="20">
        <f>'Preencher pelo celular'!A524</f>
        <v/>
      </c>
      <c r="B91" s="21">
        <f>IF('Preencher pelo celular'!C524="","",'Preencher pelo celular'!C524)</f>
        <v/>
      </c>
      <c r="C91" s="21">
        <f>IF('Preencher pelo celular'!D524="","",'Preencher pelo celular'!D524)</f>
        <v/>
      </c>
      <c r="D91" s="21">
        <f>IF('Preencher pelo celular'!F524="","",'Preencher pelo celular'!F524)</f>
        <v/>
      </c>
      <c r="E91" s="21">
        <f>IF('Preencher pelo celular'!C525="","",'Preencher pelo celular'!C525)</f>
        <v/>
      </c>
      <c r="F91" s="21">
        <f>IF('Preencher pelo celular'!D525="","",'Preencher pelo celular'!D525)</f>
        <v/>
      </c>
      <c r="G91" s="21">
        <f>IF('Preencher pelo celular'!F525="","",'Preencher pelo celular'!F525)</f>
        <v/>
      </c>
      <c r="H91" s="21">
        <f>IF('Preencher pelo celular'!C526="","",'Preencher pelo celular'!C526)</f>
        <v/>
      </c>
      <c r="I91" s="21">
        <f>IF('Preencher pelo celular'!D526="","",'Preencher pelo celular'!D526)</f>
        <v/>
      </c>
      <c r="J91" s="21">
        <f>IF('Preencher pelo celular'!F526="","",'Preencher pelo celular'!F526)</f>
        <v/>
      </c>
      <c r="K91" s="21">
        <f>IF('Preencher pelo celular'!C527="","",'Preencher pelo celular'!C527)</f>
        <v/>
      </c>
      <c r="L91" s="21">
        <f>IF('Preencher pelo celular'!D527="","",'Preencher pelo celular'!D527)</f>
        <v/>
      </c>
      <c r="M91" s="21">
        <f>IF('Preencher pelo celular'!F527="","",'Preencher pelo celular'!F527)</f>
        <v/>
      </c>
      <c r="N91" s="21">
        <f>IF('Preencher pelo celular'!C528="","",'Preencher pelo celular'!C528)</f>
        <v/>
      </c>
      <c r="O91" s="21">
        <f>IF('Preencher pelo celular'!D528="","",'Preencher pelo celular'!D528)</f>
        <v/>
      </c>
      <c r="P91" s="21">
        <f>IF('Preencher pelo celular'!F528="","",'Preencher pelo celular'!F528)</f>
        <v/>
      </c>
      <c r="Q91" s="21">
        <f>IF('Preencher pelo celular'!C529="","",'Preencher pelo celular'!C529)</f>
        <v/>
      </c>
      <c r="R91" s="21">
        <f>IF('Preencher pelo celular'!D529="","",'Preencher pelo celular'!D529)</f>
        <v/>
      </c>
      <c r="S91" s="21">
        <f>IF('Preencher pelo celular'!F529="","",'Preencher pelo celular'!F529)</f>
        <v/>
      </c>
      <c r="T91" s="19">
        <f>IF(COUNT(B91,E91,H91,K91,N91,Q91)=0,"",AVERAGE(B91,E91,H91,K91,N91,Q91))</f>
        <v/>
      </c>
      <c r="U91" s="19">
        <f>IF(COUNT(D91,G91,J91,M91,P91,S91)=0,"",AVERAGE(D91,G91,J91,M91,P91,S91))</f>
        <v/>
      </c>
      <c r="V91" s="19">
        <f>IF(COUNT(C91,F91,I91,L91,O91,R91)=0,"",SUM(C91,F91,I91,L91,O91,R91))</f>
        <v/>
      </c>
    </row>
    <row r="92">
      <c r="A92" s="18">
        <f>'Preencher pelo celular'!A530</f>
        <v/>
      </c>
      <c r="B92" s="14">
        <f>IF('Preencher pelo celular'!C530="","",'Preencher pelo celular'!C530)</f>
        <v/>
      </c>
      <c r="C92" s="14">
        <f>IF('Preencher pelo celular'!D530="","",'Preencher pelo celular'!D530)</f>
        <v/>
      </c>
      <c r="D92" s="14">
        <f>IF('Preencher pelo celular'!F530="","",'Preencher pelo celular'!F530)</f>
        <v/>
      </c>
      <c r="E92" s="14">
        <f>IF('Preencher pelo celular'!C531="","",'Preencher pelo celular'!C531)</f>
        <v/>
      </c>
      <c r="F92" s="14">
        <f>IF('Preencher pelo celular'!D531="","",'Preencher pelo celular'!D531)</f>
        <v/>
      </c>
      <c r="G92" s="14">
        <f>IF('Preencher pelo celular'!F531="","",'Preencher pelo celular'!F531)</f>
        <v/>
      </c>
      <c r="H92" s="14">
        <f>IF('Preencher pelo celular'!C532="","",'Preencher pelo celular'!C532)</f>
        <v/>
      </c>
      <c r="I92" s="14">
        <f>IF('Preencher pelo celular'!D532="","",'Preencher pelo celular'!D532)</f>
        <v/>
      </c>
      <c r="J92" s="14">
        <f>IF('Preencher pelo celular'!F532="","",'Preencher pelo celular'!F532)</f>
        <v/>
      </c>
      <c r="K92" s="14">
        <f>IF('Preencher pelo celular'!C533="","",'Preencher pelo celular'!C533)</f>
        <v/>
      </c>
      <c r="L92" s="14">
        <f>IF('Preencher pelo celular'!D533="","",'Preencher pelo celular'!D533)</f>
        <v/>
      </c>
      <c r="M92" s="14">
        <f>IF('Preencher pelo celular'!F533="","",'Preencher pelo celular'!F533)</f>
        <v/>
      </c>
      <c r="N92" s="14">
        <f>IF('Preencher pelo celular'!C534="","",'Preencher pelo celular'!C534)</f>
        <v/>
      </c>
      <c r="O92" s="14">
        <f>IF('Preencher pelo celular'!D534="","",'Preencher pelo celular'!D534)</f>
        <v/>
      </c>
      <c r="P92" s="14">
        <f>IF('Preencher pelo celular'!F534="","",'Preencher pelo celular'!F534)</f>
        <v/>
      </c>
      <c r="Q92" s="14">
        <f>IF('Preencher pelo celular'!C535="","",'Preencher pelo celular'!C535)</f>
        <v/>
      </c>
      <c r="R92" s="14">
        <f>IF('Preencher pelo celular'!D535="","",'Preencher pelo celular'!D535)</f>
        <v/>
      </c>
      <c r="S92" s="14">
        <f>IF('Preencher pelo celular'!F535="","",'Preencher pelo celular'!F535)</f>
        <v/>
      </c>
      <c r="T92" s="19">
        <f>IF(COUNT(B92,E92,H92,K92,N92,Q92)=0,"",AVERAGE(B92,E92,H92,K92,N92,Q92))</f>
        <v/>
      </c>
      <c r="U92" s="19">
        <f>IF(COUNT(D92,G92,J92,M92,P92,S92)=0,"",AVERAGE(D92,G92,J92,M92,P92,S92))</f>
        <v/>
      </c>
      <c r="V92" s="19">
        <f>IF(COUNT(C92,F92,I92,L92,O92,R92)=0,"",SUM(C92,F92,I92,L92,O92,R92))</f>
        <v/>
      </c>
    </row>
    <row r="93">
      <c r="A93" s="20">
        <f>'Preencher pelo celular'!A536</f>
        <v/>
      </c>
      <c r="B93" s="21">
        <f>IF('Preencher pelo celular'!C536="","",'Preencher pelo celular'!C536)</f>
        <v/>
      </c>
      <c r="C93" s="21">
        <f>IF('Preencher pelo celular'!D536="","",'Preencher pelo celular'!D536)</f>
        <v/>
      </c>
      <c r="D93" s="21">
        <f>IF('Preencher pelo celular'!F536="","",'Preencher pelo celular'!F536)</f>
        <v/>
      </c>
      <c r="E93" s="21">
        <f>IF('Preencher pelo celular'!C537="","",'Preencher pelo celular'!C537)</f>
        <v/>
      </c>
      <c r="F93" s="21">
        <f>IF('Preencher pelo celular'!D537="","",'Preencher pelo celular'!D537)</f>
        <v/>
      </c>
      <c r="G93" s="21">
        <f>IF('Preencher pelo celular'!F537="","",'Preencher pelo celular'!F537)</f>
        <v/>
      </c>
      <c r="H93" s="21">
        <f>IF('Preencher pelo celular'!C538="","",'Preencher pelo celular'!C538)</f>
        <v/>
      </c>
      <c r="I93" s="21">
        <f>IF('Preencher pelo celular'!D538="","",'Preencher pelo celular'!D538)</f>
        <v/>
      </c>
      <c r="J93" s="21">
        <f>IF('Preencher pelo celular'!F538="","",'Preencher pelo celular'!F538)</f>
        <v/>
      </c>
      <c r="K93" s="21">
        <f>IF('Preencher pelo celular'!C539="","",'Preencher pelo celular'!C539)</f>
        <v/>
      </c>
      <c r="L93" s="21">
        <f>IF('Preencher pelo celular'!D539="","",'Preencher pelo celular'!D539)</f>
        <v/>
      </c>
      <c r="M93" s="21">
        <f>IF('Preencher pelo celular'!F539="","",'Preencher pelo celular'!F539)</f>
        <v/>
      </c>
      <c r="N93" s="21">
        <f>IF('Preencher pelo celular'!C540="","",'Preencher pelo celular'!C540)</f>
        <v/>
      </c>
      <c r="O93" s="21">
        <f>IF('Preencher pelo celular'!D540="","",'Preencher pelo celular'!D540)</f>
        <v/>
      </c>
      <c r="P93" s="21">
        <f>IF('Preencher pelo celular'!F540="","",'Preencher pelo celular'!F540)</f>
        <v/>
      </c>
      <c r="Q93" s="21">
        <f>IF('Preencher pelo celular'!C541="","",'Preencher pelo celular'!C541)</f>
        <v/>
      </c>
      <c r="R93" s="21">
        <f>IF('Preencher pelo celular'!D541="","",'Preencher pelo celular'!D541)</f>
        <v/>
      </c>
      <c r="S93" s="21">
        <f>IF('Preencher pelo celular'!F541="","",'Preencher pelo celular'!F541)</f>
        <v/>
      </c>
      <c r="T93" s="19">
        <f>IF(COUNT(B93,E93,H93,K93,N93,Q93)=0,"",AVERAGE(B93,E93,H93,K93,N93,Q93))</f>
        <v/>
      </c>
      <c r="U93" s="19">
        <f>IF(COUNT(D93,G93,J93,M93,P93,S93)=0,"",AVERAGE(D93,G93,J93,M93,P93,S93))</f>
        <v/>
      </c>
      <c r="V93" s="19">
        <f>IF(COUNT(C93,F93,I93,L93,O93,R93)=0,"",SUM(C93,F93,I93,L93,O93,R93))</f>
        <v/>
      </c>
    </row>
    <row r="95">
      <c r="A95" s="22" t="inlineStr">
        <is>
          <t>Valores copiados automaticamente da aba 'Preencher pelo celular'. Observações e alimentação completas estão naquela aba.</t>
        </is>
      </c>
    </row>
  </sheetData>
  <mergeCells count="11">
    <mergeCell ref="E2:G2"/>
    <mergeCell ref="K2:M2"/>
    <mergeCell ref="N2:P2"/>
    <mergeCell ref="V2:V3"/>
    <mergeCell ref="U2:U3"/>
    <mergeCell ref="A1:V1"/>
    <mergeCell ref="A2:A3"/>
    <mergeCell ref="H2:J2"/>
    <mergeCell ref="T2:T3"/>
    <mergeCell ref="B2:D2"/>
    <mergeCell ref="Q2:S2"/>
  </mergeCells>
  <pageMargins left="0.4" right="0.4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K18"/>
  <sheetViews>
    <sheetView showGridLines="0"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5" customWidth="1" min="11" max="11"/>
  </cols>
  <sheetData>
    <row r="1" ht="30" customHeight="1">
      <c r="A1" s="17" t="inlineStr">
        <is>
          <t>RESUMO PARA A EQUIPE MÉDICA</t>
        </is>
      </c>
    </row>
    <row r="3">
      <c r="A3" s="23" t="inlineStr">
        <is>
          <t>Período de</t>
        </is>
      </c>
      <c r="B3" s="24">
        <f>'Como usar'!$B$4</f>
        <v/>
      </c>
      <c r="C3" s="22" t="inlineStr">
        <is>
          <t>Pode trocar as datas para ver só um período (ex.: últimos 15 dias).</t>
        </is>
      </c>
    </row>
    <row r="4">
      <c r="A4" s="23" t="inlineStr">
        <is>
          <t>Até</t>
        </is>
      </c>
      <c r="B4" s="24">
        <f>'Como usar'!$B$4+89</f>
        <v/>
      </c>
    </row>
    <row r="5">
      <c r="A5" s="23" t="inlineStr">
        <is>
          <t>Dias com registro</t>
        </is>
      </c>
      <c r="B5" s="25">
        <f>SUMPRODUCT(('Histórico por dia'!$A$4:$A$93&gt;=$B$3)*('Histórico por dia'!$A$4:$A$93&lt;=$B$4)*((('Histórico por dia'!$T$4:$T$93&lt;&gt;"")+('Histórico por dia'!$U$4:$U$93&lt;&gt;"")+('Histórico por dia'!$V$4:$V$93&lt;&gt;""))&gt;0))</f>
        <v/>
      </c>
    </row>
    <row r="7" ht="40" customHeight="1">
      <c r="A7" s="11" t="inlineStr">
        <is>
          <t>Refeição</t>
        </is>
      </c>
      <c r="B7" s="11" t="inlineStr">
        <is>
          <t>Medições
antes</t>
        </is>
      </c>
      <c r="C7" s="11" t="inlineStr">
        <is>
          <t>Média
antes</t>
        </is>
      </c>
      <c r="D7" s="11" t="inlineStr">
        <is>
          <t>Mínima
antes</t>
        </is>
      </c>
      <c r="E7" s="11" t="inlineStr">
        <is>
          <t>Máxima
antes</t>
        </is>
      </c>
      <c r="F7" s="11" t="inlineStr">
        <is>
          <t>Média de
insulina (un.)</t>
        </is>
      </c>
      <c r="G7" s="11" t="inlineStr">
        <is>
          <t>Medições
2h depois</t>
        </is>
      </c>
      <c r="H7" s="11" t="inlineStr">
        <is>
          <t>Média
2h depois</t>
        </is>
      </c>
      <c r="I7" s="11" t="inlineStr">
        <is>
          <t>Mínima
2h depois</t>
        </is>
      </c>
      <c r="J7" s="11" t="inlineStr">
        <is>
          <t>Máxima
2h depois</t>
        </is>
      </c>
      <c r="K7" s="11" t="inlineStr">
        <is>
          <t>Variação média
(2h − antes)</t>
        </is>
      </c>
    </row>
    <row r="8" ht="20" customHeight="1">
      <c r="A8" s="26" t="inlineStr">
        <is>
          <t>Café da manhã</t>
        </is>
      </c>
      <c r="B8" s="27">
        <f>COUNTIFS('Preencher pelo celular'!$C$2:$C$541,"&lt;&gt;",'Preencher pelo celular'!$B$2:$B$541,$A8,'Preencher pelo celular'!$A$2:$A$541,"&gt;="&amp;$B$3,'Preencher pelo celular'!$A$2:$A$541,"&lt;="&amp;$B$4)</f>
        <v/>
      </c>
      <c r="C8" s="27">
        <f>IFERROR(AVERAGEIFS('Preencher pelo celular'!$C$2:$C$541,'Preencher pelo celular'!$B$2:$B$541,$A8,'Preencher pelo celular'!$A$2:$A$541,"&gt;="&amp;$B$3,'Preencher pelo celular'!$A$2:$A$541,"&lt;="&amp;$B$4),"-")</f>
        <v/>
      </c>
      <c r="D8" s="27">
        <f>IF(B8=0,"-",_xlfn.MINIFS('Preencher pelo celular'!$C$2:$C$541,'Preencher pelo celular'!$B$2:$B$541,$A8,'Preencher pelo celular'!$A$2:$A$541,"&gt;="&amp;$B$3,'Preencher pelo celular'!$A$2:$A$541,"&lt;="&amp;$B$4))</f>
        <v/>
      </c>
      <c r="E8" s="27">
        <f>IF(B8=0,"-",_xlfn.MAXIFS('Preencher pelo celular'!$C$2:$C$541,'Preencher pelo celular'!$B$2:$B$541,$A8,'Preencher pelo celular'!$A$2:$A$541,"&gt;="&amp;$B$3,'Preencher pelo celular'!$A$2:$A$541,"&lt;="&amp;$B$4))</f>
        <v/>
      </c>
      <c r="F8" s="28">
        <f>IFERROR(AVERAGEIFS('Preencher pelo celular'!$D$2:$D$541,'Preencher pelo celular'!$B$2:$B$541,$A8,'Preencher pelo celular'!$A$2:$A$541,"&gt;="&amp;$B$3,'Preencher pelo celular'!$A$2:$A$541,"&lt;="&amp;$B$4),"-")</f>
        <v/>
      </c>
      <c r="G8" s="27">
        <f>COUNTIFS('Preencher pelo celular'!$F$2:$F$541,"&lt;&gt;",'Preencher pelo celular'!$B$2:$B$541,$A8,'Preencher pelo celular'!$A$2:$A$541,"&gt;="&amp;$B$3,'Preencher pelo celular'!$A$2:$A$541,"&lt;="&amp;$B$4)</f>
        <v/>
      </c>
      <c r="H8" s="27">
        <f>IFERROR(AVERAGEIFS('Preencher pelo celular'!$F$2:$F$541,'Preencher pelo celular'!$B$2:$B$541,$A8,'Preencher pelo celular'!$A$2:$A$541,"&gt;="&amp;$B$3,'Preencher pelo celular'!$A$2:$A$541,"&lt;="&amp;$B$4),"-")</f>
        <v/>
      </c>
      <c r="I8" s="27">
        <f>IF(G8=0,"-",_xlfn.MINIFS('Preencher pelo celular'!$F$2:$F$541,'Preencher pelo celular'!$B$2:$B$541,$A8,'Preencher pelo celular'!$A$2:$A$541,"&gt;="&amp;$B$3,'Preencher pelo celular'!$A$2:$A$541,"&lt;="&amp;$B$4))</f>
        <v/>
      </c>
      <c r="J8" s="27">
        <f>IF(G8=0,"-",_xlfn.MAXIFS('Preencher pelo celular'!$F$2:$F$541,'Preencher pelo celular'!$B$2:$B$541,$A8,'Preencher pelo celular'!$A$2:$A$541,"&gt;="&amp;$B$3,'Preencher pelo celular'!$A$2:$A$541,"&lt;="&amp;$B$4))</f>
        <v/>
      </c>
      <c r="K8" s="29">
        <f>IF(OR(C8="-",H8="-"),"-",H8-C8)</f>
        <v/>
      </c>
    </row>
    <row r="9" ht="20" customHeight="1">
      <c r="A9" s="26" t="inlineStr">
        <is>
          <t>Lanche</t>
        </is>
      </c>
      <c r="B9" s="27">
        <f>COUNTIFS('Preencher pelo celular'!$C$2:$C$541,"&lt;&gt;",'Preencher pelo celular'!$B$2:$B$541,$A9,'Preencher pelo celular'!$A$2:$A$541,"&gt;="&amp;$B$3,'Preencher pelo celular'!$A$2:$A$541,"&lt;="&amp;$B$4)</f>
        <v/>
      </c>
      <c r="C9" s="27">
        <f>IFERROR(AVERAGEIFS('Preencher pelo celular'!$C$2:$C$541,'Preencher pelo celular'!$B$2:$B$541,$A9,'Preencher pelo celular'!$A$2:$A$541,"&gt;="&amp;$B$3,'Preencher pelo celular'!$A$2:$A$541,"&lt;="&amp;$B$4),"-")</f>
        <v/>
      </c>
      <c r="D9" s="27">
        <f>IF(B9=0,"-",_xlfn.MINIFS('Preencher pelo celular'!$C$2:$C$541,'Preencher pelo celular'!$B$2:$B$541,$A9,'Preencher pelo celular'!$A$2:$A$541,"&gt;="&amp;$B$3,'Preencher pelo celular'!$A$2:$A$541,"&lt;="&amp;$B$4))</f>
        <v/>
      </c>
      <c r="E9" s="27">
        <f>IF(B9=0,"-",_xlfn.MAXIFS('Preencher pelo celular'!$C$2:$C$541,'Preencher pelo celular'!$B$2:$B$541,$A9,'Preencher pelo celular'!$A$2:$A$541,"&gt;="&amp;$B$3,'Preencher pelo celular'!$A$2:$A$541,"&lt;="&amp;$B$4))</f>
        <v/>
      </c>
      <c r="F9" s="28">
        <f>IFERROR(AVERAGEIFS('Preencher pelo celular'!$D$2:$D$541,'Preencher pelo celular'!$B$2:$B$541,$A9,'Preencher pelo celular'!$A$2:$A$541,"&gt;="&amp;$B$3,'Preencher pelo celular'!$A$2:$A$541,"&lt;="&amp;$B$4),"-")</f>
        <v/>
      </c>
      <c r="G9" s="27">
        <f>COUNTIFS('Preencher pelo celular'!$F$2:$F$541,"&lt;&gt;",'Preencher pelo celular'!$B$2:$B$541,$A9,'Preencher pelo celular'!$A$2:$A$541,"&gt;="&amp;$B$3,'Preencher pelo celular'!$A$2:$A$541,"&lt;="&amp;$B$4)</f>
        <v/>
      </c>
      <c r="H9" s="27">
        <f>IFERROR(AVERAGEIFS('Preencher pelo celular'!$F$2:$F$541,'Preencher pelo celular'!$B$2:$B$541,$A9,'Preencher pelo celular'!$A$2:$A$541,"&gt;="&amp;$B$3,'Preencher pelo celular'!$A$2:$A$541,"&lt;="&amp;$B$4),"-")</f>
        <v/>
      </c>
      <c r="I9" s="27">
        <f>IF(G9=0,"-",_xlfn.MINIFS('Preencher pelo celular'!$F$2:$F$541,'Preencher pelo celular'!$B$2:$B$541,$A9,'Preencher pelo celular'!$A$2:$A$541,"&gt;="&amp;$B$3,'Preencher pelo celular'!$A$2:$A$541,"&lt;="&amp;$B$4))</f>
        <v/>
      </c>
      <c r="J9" s="27">
        <f>IF(G9=0,"-",_xlfn.MAXIFS('Preencher pelo celular'!$F$2:$F$541,'Preencher pelo celular'!$B$2:$B$541,$A9,'Preencher pelo celular'!$A$2:$A$541,"&gt;="&amp;$B$3,'Preencher pelo celular'!$A$2:$A$541,"&lt;="&amp;$B$4))</f>
        <v/>
      </c>
      <c r="K9" s="29">
        <f>IF(OR(C9="-",H9="-"),"-",H9-C9)</f>
        <v/>
      </c>
    </row>
    <row r="10" ht="20" customHeight="1">
      <c r="A10" s="26" t="inlineStr">
        <is>
          <t>Almoço</t>
        </is>
      </c>
      <c r="B10" s="27">
        <f>COUNTIFS('Preencher pelo celular'!$C$2:$C$541,"&lt;&gt;",'Preencher pelo celular'!$B$2:$B$541,$A10,'Preencher pelo celular'!$A$2:$A$541,"&gt;="&amp;$B$3,'Preencher pelo celular'!$A$2:$A$541,"&lt;="&amp;$B$4)</f>
        <v/>
      </c>
      <c r="C10" s="27">
        <f>IFERROR(AVERAGEIFS('Preencher pelo celular'!$C$2:$C$541,'Preencher pelo celular'!$B$2:$B$541,$A10,'Preencher pelo celular'!$A$2:$A$541,"&gt;="&amp;$B$3,'Preencher pelo celular'!$A$2:$A$541,"&lt;="&amp;$B$4),"-")</f>
        <v/>
      </c>
      <c r="D10" s="27">
        <f>IF(B10=0,"-",_xlfn.MINIFS('Preencher pelo celular'!$C$2:$C$541,'Preencher pelo celular'!$B$2:$B$541,$A10,'Preencher pelo celular'!$A$2:$A$541,"&gt;="&amp;$B$3,'Preencher pelo celular'!$A$2:$A$541,"&lt;="&amp;$B$4))</f>
        <v/>
      </c>
      <c r="E10" s="27">
        <f>IF(B10=0,"-",_xlfn.MAXIFS('Preencher pelo celular'!$C$2:$C$541,'Preencher pelo celular'!$B$2:$B$541,$A10,'Preencher pelo celular'!$A$2:$A$541,"&gt;="&amp;$B$3,'Preencher pelo celular'!$A$2:$A$541,"&lt;="&amp;$B$4))</f>
        <v/>
      </c>
      <c r="F10" s="28">
        <f>IFERROR(AVERAGEIFS('Preencher pelo celular'!$D$2:$D$541,'Preencher pelo celular'!$B$2:$B$541,$A10,'Preencher pelo celular'!$A$2:$A$541,"&gt;="&amp;$B$3,'Preencher pelo celular'!$A$2:$A$541,"&lt;="&amp;$B$4),"-")</f>
        <v/>
      </c>
      <c r="G10" s="27">
        <f>COUNTIFS('Preencher pelo celular'!$F$2:$F$541,"&lt;&gt;",'Preencher pelo celular'!$B$2:$B$541,$A10,'Preencher pelo celular'!$A$2:$A$541,"&gt;="&amp;$B$3,'Preencher pelo celular'!$A$2:$A$541,"&lt;="&amp;$B$4)</f>
        <v/>
      </c>
      <c r="H10" s="27">
        <f>IFERROR(AVERAGEIFS('Preencher pelo celular'!$F$2:$F$541,'Preencher pelo celular'!$B$2:$B$541,$A10,'Preencher pelo celular'!$A$2:$A$541,"&gt;="&amp;$B$3,'Preencher pelo celular'!$A$2:$A$541,"&lt;="&amp;$B$4),"-")</f>
        <v/>
      </c>
      <c r="I10" s="27">
        <f>IF(G10=0,"-",_xlfn.MINIFS('Preencher pelo celular'!$F$2:$F$541,'Preencher pelo celular'!$B$2:$B$541,$A10,'Preencher pelo celular'!$A$2:$A$541,"&gt;="&amp;$B$3,'Preencher pelo celular'!$A$2:$A$541,"&lt;="&amp;$B$4))</f>
        <v/>
      </c>
      <c r="J10" s="27">
        <f>IF(G10=0,"-",_xlfn.MAXIFS('Preencher pelo celular'!$F$2:$F$541,'Preencher pelo celular'!$B$2:$B$541,$A10,'Preencher pelo celular'!$A$2:$A$541,"&gt;="&amp;$B$3,'Preencher pelo celular'!$A$2:$A$541,"&lt;="&amp;$B$4))</f>
        <v/>
      </c>
      <c r="K10" s="29">
        <f>IF(OR(C10="-",H10="-"),"-",H10-C10)</f>
        <v/>
      </c>
    </row>
    <row r="11" ht="20" customHeight="1">
      <c r="A11" s="26" t="inlineStr">
        <is>
          <t>Café da tarde</t>
        </is>
      </c>
      <c r="B11" s="27">
        <f>COUNTIFS('Preencher pelo celular'!$C$2:$C$541,"&lt;&gt;",'Preencher pelo celular'!$B$2:$B$541,$A11,'Preencher pelo celular'!$A$2:$A$541,"&gt;="&amp;$B$3,'Preencher pelo celular'!$A$2:$A$541,"&lt;="&amp;$B$4)</f>
        <v/>
      </c>
      <c r="C11" s="27">
        <f>IFERROR(AVERAGEIFS('Preencher pelo celular'!$C$2:$C$541,'Preencher pelo celular'!$B$2:$B$541,$A11,'Preencher pelo celular'!$A$2:$A$541,"&gt;="&amp;$B$3,'Preencher pelo celular'!$A$2:$A$541,"&lt;="&amp;$B$4),"-")</f>
        <v/>
      </c>
      <c r="D11" s="27">
        <f>IF(B11=0,"-",_xlfn.MINIFS('Preencher pelo celular'!$C$2:$C$541,'Preencher pelo celular'!$B$2:$B$541,$A11,'Preencher pelo celular'!$A$2:$A$541,"&gt;="&amp;$B$3,'Preencher pelo celular'!$A$2:$A$541,"&lt;="&amp;$B$4))</f>
        <v/>
      </c>
      <c r="E11" s="27">
        <f>IF(B11=0,"-",_xlfn.MAXIFS('Preencher pelo celular'!$C$2:$C$541,'Preencher pelo celular'!$B$2:$B$541,$A11,'Preencher pelo celular'!$A$2:$A$541,"&gt;="&amp;$B$3,'Preencher pelo celular'!$A$2:$A$541,"&lt;="&amp;$B$4))</f>
        <v/>
      </c>
      <c r="F11" s="28">
        <f>IFERROR(AVERAGEIFS('Preencher pelo celular'!$D$2:$D$541,'Preencher pelo celular'!$B$2:$B$541,$A11,'Preencher pelo celular'!$A$2:$A$541,"&gt;="&amp;$B$3,'Preencher pelo celular'!$A$2:$A$541,"&lt;="&amp;$B$4),"-")</f>
        <v/>
      </c>
      <c r="G11" s="27">
        <f>COUNTIFS('Preencher pelo celular'!$F$2:$F$541,"&lt;&gt;",'Preencher pelo celular'!$B$2:$B$541,$A11,'Preencher pelo celular'!$A$2:$A$541,"&gt;="&amp;$B$3,'Preencher pelo celular'!$A$2:$A$541,"&lt;="&amp;$B$4)</f>
        <v/>
      </c>
      <c r="H11" s="27">
        <f>IFERROR(AVERAGEIFS('Preencher pelo celular'!$F$2:$F$541,'Preencher pelo celular'!$B$2:$B$541,$A11,'Preencher pelo celular'!$A$2:$A$541,"&gt;="&amp;$B$3,'Preencher pelo celular'!$A$2:$A$541,"&lt;="&amp;$B$4),"-")</f>
        <v/>
      </c>
      <c r="I11" s="27">
        <f>IF(G11=0,"-",_xlfn.MINIFS('Preencher pelo celular'!$F$2:$F$541,'Preencher pelo celular'!$B$2:$B$541,$A11,'Preencher pelo celular'!$A$2:$A$541,"&gt;="&amp;$B$3,'Preencher pelo celular'!$A$2:$A$541,"&lt;="&amp;$B$4))</f>
        <v/>
      </c>
      <c r="J11" s="27">
        <f>IF(G11=0,"-",_xlfn.MAXIFS('Preencher pelo celular'!$F$2:$F$541,'Preencher pelo celular'!$B$2:$B$541,$A11,'Preencher pelo celular'!$A$2:$A$541,"&gt;="&amp;$B$3,'Preencher pelo celular'!$A$2:$A$541,"&lt;="&amp;$B$4))</f>
        <v/>
      </c>
      <c r="K11" s="29">
        <f>IF(OR(C11="-",H11="-"),"-",H11-C11)</f>
        <v/>
      </c>
    </row>
    <row r="12" ht="20" customHeight="1">
      <c r="A12" s="26" t="inlineStr">
        <is>
          <t>Janta</t>
        </is>
      </c>
      <c r="B12" s="27">
        <f>COUNTIFS('Preencher pelo celular'!$C$2:$C$541,"&lt;&gt;",'Preencher pelo celular'!$B$2:$B$541,$A12,'Preencher pelo celular'!$A$2:$A$541,"&gt;="&amp;$B$3,'Preencher pelo celular'!$A$2:$A$541,"&lt;="&amp;$B$4)</f>
        <v/>
      </c>
      <c r="C12" s="27">
        <f>IFERROR(AVERAGEIFS('Preencher pelo celular'!$C$2:$C$541,'Preencher pelo celular'!$B$2:$B$541,$A12,'Preencher pelo celular'!$A$2:$A$541,"&gt;="&amp;$B$3,'Preencher pelo celular'!$A$2:$A$541,"&lt;="&amp;$B$4),"-")</f>
        <v/>
      </c>
      <c r="D12" s="27">
        <f>IF(B12=0,"-",_xlfn.MINIFS('Preencher pelo celular'!$C$2:$C$541,'Preencher pelo celular'!$B$2:$B$541,$A12,'Preencher pelo celular'!$A$2:$A$541,"&gt;="&amp;$B$3,'Preencher pelo celular'!$A$2:$A$541,"&lt;="&amp;$B$4))</f>
        <v/>
      </c>
      <c r="E12" s="27">
        <f>IF(B12=0,"-",_xlfn.MAXIFS('Preencher pelo celular'!$C$2:$C$541,'Preencher pelo celular'!$B$2:$B$541,$A12,'Preencher pelo celular'!$A$2:$A$541,"&gt;="&amp;$B$3,'Preencher pelo celular'!$A$2:$A$541,"&lt;="&amp;$B$4))</f>
        <v/>
      </c>
      <c r="F12" s="28">
        <f>IFERROR(AVERAGEIFS('Preencher pelo celular'!$D$2:$D$541,'Preencher pelo celular'!$B$2:$B$541,$A12,'Preencher pelo celular'!$A$2:$A$541,"&gt;="&amp;$B$3,'Preencher pelo celular'!$A$2:$A$541,"&lt;="&amp;$B$4),"-")</f>
        <v/>
      </c>
      <c r="G12" s="27">
        <f>COUNTIFS('Preencher pelo celular'!$F$2:$F$541,"&lt;&gt;",'Preencher pelo celular'!$B$2:$B$541,$A12,'Preencher pelo celular'!$A$2:$A$541,"&gt;="&amp;$B$3,'Preencher pelo celular'!$A$2:$A$541,"&lt;="&amp;$B$4)</f>
        <v/>
      </c>
      <c r="H12" s="27">
        <f>IFERROR(AVERAGEIFS('Preencher pelo celular'!$F$2:$F$541,'Preencher pelo celular'!$B$2:$B$541,$A12,'Preencher pelo celular'!$A$2:$A$541,"&gt;="&amp;$B$3,'Preencher pelo celular'!$A$2:$A$541,"&lt;="&amp;$B$4),"-")</f>
        <v/>
      </c>
      <c r="I12" s="27">
        <f>IF(G12=0,"-",_xlfn.MINIFS('Preencher pelo celular'!$F$2:$F$541,'Preencher pelo celular'!$B$2:$B$541,$A12,'Preencher pelo celular'!$A$2:$A$541,"&gt;="&amp;$B$3,'Preencher pelo celular'!$A$2:$A$541,"&lt;="&amp;$B$4))</f>
        <v/>
      </c>
      <c r="J12" s="27">
        <f>IF(G12=0,"-",_xlfn.MAXIFS('Preencher pelo celular'!$F$2:$F$541,'Preencher pelo celular'!$B$2:$B$541,$A12,'Preencher pelo celular'!$A$2:$A$541,"&gt;="&amp;$B$3,'Preencher pelo celular'!$A$2:$A$541,"&lt;="&amp;$B$4))</f>
        <v/>
      </c>
      <c r="K12" s="29">
        <f>IF(OR(C12="-",H12="-"),"-",H12-C12)</f>
        <v/>
      </c>
    </row>
    <row r="13" ht="20" customHeight="1">
      <c r="A13" s="26" t="inlineStr">
        <is>
          <t>Ceia</t>
        </is>
      </c>
      <c r="B13" s="27">
        <f>COUNTIFS('Preencher pelo celular'!$C$2:$C$541,"&lt;&gt;",'Preencher pelo celular'!$B$2:$B$541,$A13,'Preencher pelo celular'!$A$2:$A$541,"&gt;="&amp;$B$3,'Preencher pelo celular'!$A$2:$A$541,"&lt;="&amp;$B$4)</f>
        <v/>
      </c>
      <c r="C13" s="27">
        <f>IFERROR(AVERAGEIFS('Preencher pelo celular'!$C$2:$C$541,'Preencher pelo celular'!$B$2:$B$541,$A13,'Preencher pelo celular'!$A$2:$A$541,"&gt;="&amp;$B$3,'Preencher pelo celular'!$A$2:$A$541,"&lt;="&amp;$B$4),"-")</f>
        <v/>
      </c>
      <c r="D13" s="27">
        <f>IF(B13=0,"-",_xlfn.MINIFS('Preencher pelo celular'!$C$2:$C$541,'Preencher pelo celular'!$B$2:$B$541,$A13,'Preencher pelo celular'!$A$2:$A$541,"&gt;="&amp;$B$3,'Preencher pelo celular'!$A$2:$A$541,"&lt;="&amp;$B$4))</f>
        <v/>
      </c>
      <c r="E13" s="27">
        <f>IF(B13=0,"-",_xlfn.MAXIFS('Preencher pelo celular'!$C$2:$C$541,'Preencher pelo celular'!$B$2:$B$541,$A13,'Preencher pelo celular'!$A$2:$A$541,"&gt;="&amp;$B$3,'Preencher pelo celular'!$A$2:$A$541,"&lt;="&amp;$B$4))</f>
        <v/>
      </c>
      <c r="F13" s="28">
        <f>IFERROR(AVERAGEIFS('Preencher pelo celular'!$D$2:$D$541,'Preencher pelo celular'!$B$2:$B$541,$A13,'Preencher pelo celular'!$A$2:$A$541,"&gt;="&amp;$B$3,'Preencher pelo celular'!$A$2:$A$541,"&lt;="&amp;$B$4),"-")</f>
        <v/>
      </c>
      <c r="G13" s="27">
        <f>COUNTIFS('Preencher pelo celular'!$F$2:$F$541,"&lt;&gt;",'Preencher pelo celular'!$B$2:$B$541,$A13,'Preencher pelo celular'!$A$2:$A$541,"&gt;="&amp;$B$3,'Preencher pelo celular'!$A$2:$A$541,"&lt;="&amp;$B$4)</f>
        <v/>
      </c>
      <c r="H13" s="27">
        <f>IFERROR(AVERAGEIFS('Preencher pelo celular'!$F$2:$F$541,'Preencher pelo celular'!$B$2:$B$541,$A13,'Preencher pelo celular'!$A$2:$A$541,"&gt;="&amp;$B$3,'Preencher pelo celular'!$A$2:$A$541,"&lt;="&amp;$B$4),"-")</f>
        <v/>
      </c>
      <c r="I13" s="27">
        <f>IF(G13=0,"-",_xlfn.MINIFS('Preencher pelo celular'!$F$2:$F$541,'Preencher pelo celular'!$B$2:$B$541,$A13,'Preencher pelo celular'!$A$2:$A$541,"&gt;="&amp;$B$3,'Preencher pelo celular'!$A$2:$A$541,"&lt;="&amp;$B$4))</f>
        <v/>
      </c>
      <c r="J13" s="27">
        <f>IF(G13=0,"-",_xlfn.MAXIFS('Preencher pelo celular'!$F$2:$F$541,'Preencher pelo celular'!$B$2:$B$541,$A13,'Preencher pelo celular'!$A$2:$A$541,"&gt;="&amp;$B$3,'Preencher pelo celular'!$A$2:$A$541,"&lt;="&amp;$B$4))</f>
        <v/>
      </c>
      <c r="K13" s="29">
        <f>IF(OR(C13="-",H13="-"),"-",H13-C13)</f>
        <v/>
      </c>
    </row>
    <row r="14" ht="20" customHeight="1">
      <c r="A14" s="30" t="inlineStr">
        <is>
          <t>Todas as refeições</t>
        </is>
      </c>
      <c r="B14" s="19">
        <f>COUNTIFS('Preencher pelo celular'!$C$2:$C$541,"&lt;&gt;",'Preencher pelo celular'!$A$2:$A$541,"&gt;="&amp;$B$3,'Preencher pelo celular'!$A$2:$A$541,"&lt;="&amp;$B$4)</f>
        <v/>
      </c>
      <c r="C14" s="19">
        <f>IFERROR(AVERAGEIFS('Preencher pelo celular'!$C$2:$C$541,'Preencher pelo celular'!$A$2:$A$541,"&gt;="&amp;$B$3,'Preencher pelo celular'!$A$2:$A$541,"&lt;="&amp;$B$4),"-")</f>
        <v/>
      </c>
      <c r="D14" s="19">
        <f>IF(B14=0,"-",_xlfn.MINIFS('Preencher pelo celular'!$C$2:$C$541,'Preencher pelo celular'!$A$2:$A$541,"&gt;="&amp;$B$3,'Preencher pelo celular'!$A$2:$A$541,"&lt;="&amp;$B$4))</f>
        <v/>
      </c>
      <c r="E14" s="19">
        <f>IF(B14=0,"-",_xlfn.MAXIFS('Preencher pelo celular'!$C$2:$C$541,'Preencher pelo celular'!$A$2:$A$541,"&gt;="&amp;$B$3,'Preencher pelo celular'!$A$2:$A$541,"&lt;="&amp;$B$4))</f>
        <v/>
      </c>
      <c r="F14" s="31">
        <f>IFERROR(AVERAGEIFS('Preencher pelo celular'!$D$2:$D$541,'Preencher pelo celular'!$A$2:$A$541,"&gt;="&amp;$B$3,'Preencher pelo celular'!$A$2:$A$541,"&lt;="&amp;$B$4),"-")</f>
        <v/>
      </c>
      <c r="G14" s="19">
        <f>COUNTIFS('Preencher pelo celular'!$F$2:$F$541,"&lt;&gt;",'Preencher pelo celular'!$A$2:$A$541,"&gt;="&amp;$B$3,'Preencher pelo celular'!$A$2:$A$541,"&lt;="&amp;$B$4)</f>
        <v/>
      </c>
      <c r="H14" s="19">
        <f>IFERROR(AVERAGEIFS('Preencher pelo celular'!$F$2:$F$541,'Preencher pelo celular'!$A$2:$A$541,"&gt;="&amp;$B$3,'Preencher pelo celular'!$A$2:$A$541,"&lt;="&amp;$B$4),"-")</f>
        <v/>
      </c>
      <c r="I14" s="19">
        <f>IF(G14=0,"-",_xlfn.MINIFS('Preencher pelo celular'!$F$2:$F$541,'Preencher pelo celular'!$A$2:$A$541,"&gt;="&amp;$B$3,'Preencher pelo celular'!$A$2:$A$541,"&lt;="&amp;$B$4))</f>
        <v/>
      </c>
      <c r="J14" s="19">
        <f>IF(G14=0,"-",_xlfn.MAXIFS('Preencher pelo celular'!$F$2:$F$541,'Preencher pelo celular'!$A$2:$A$541,"&gt;="&amp;$B$3,'Preencher pelo celular'!$A$2:$A$541,"&lt;="&amp;$B$4))</f>
        <v/>
      </c>
      <c r="K14" s="32">
        <f>IF(OR(C14="-",H14="-"),"-",H14-C14)</f>
        <v/>
      </c>
    </row>
    <row r="15">
      <c r="K15" t="n"/>
    </row>
    <row r="17">
      <c r="A17" s="33" t="inlineStr">
        <is>
          <t>Glicemias em mg/dL. Medições em branco não entram nas médias. Metas de glicemia, doses de insulina e decisões de tratamento devem seguir as orientações da equipe médica responsável.</t>
        </is>
      </c>
    </row>
    <row r="18"/>
  </sheetData>
  <mergeCells count="2">
    <mergeCell ref="A1:K1"/>
    <mergeCell ref="A17:K18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B23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</cols>
  <sheetData>
    <row r="1" ht="30" customHeight="1">
      <c r="A1" s="17" t="inlineStr">
        <is>
          <t>CONTROLE DE GLICEMIA - COMO USAR</t>
        </is>
      </c>
    </row>
    <row r="3">
      <c r="A3" s="34" t="inlineStr">
        <is>
          <t>Configuração</t>
        </is>
      </c>
    </row>
    <row r="4">
      <c r="A4" s="23" t="inlineStr">
        <is>
          <t>Data de início do controle</t>
        </is>
      </c>
      <c r="B4" s="35" t="n">
        <v>46290</v>
      </c>
    </row>
    <row r="6">
      <c r="A6" s="36" t="inlineStr">
        <is>
          <t>Legenda</t>
        </is>
      </c>
      <c r="B6" s="37" t="inlineStr"/>
    </row>
    <row r="7">
      <c r="A7" s="38" t="inlineStr">
        <is>
          <t>Célula amarela</t>
        </is>
      </c>
      <c r="B7" s="37" t="inlineStr">
        <is>
          <t>Você preenche.</t>
        </is>
      </c>
    </row>
    <row r="8">
      <c r="A8" s="39" t="inlineStr">
        <is>
          <t>Célula cinza</t>
        </is>
      </c>
      <c r="B8" s="37" t="inlineStr">
        <is>
          <t>Automática (data, refeição e cálculos). Não precisa mexer.</t>
        </is>
      </c>
    </row>
    <row r="9">
      <c r="A9" s="36" t="inlineStr"/>
      <c r="B9" s="37" t="inlineStr"/>
    </row>
    <row r="10">
      <c r="A10" s="36" t="inlineStr">
        <is>
          <t>Passo a passo</t>
        </is>
      </c>
      <c r="B10" s="37" t="inlineStr"/>
    </row>
    <row r="11">
      <c r="A11" s="40" t="inlineStr">
        <is>
          <t>1. Início</t>
        </is>
      </c>
      <c r="B11" s="37" t="inlineStr">
        <is>
          <t>Ajuste a data de início acima (uma única vez).</t>
        </is>
      </c>
    </row>
    <row r="12">
      <c r="A12" s="40" t="inlineStr">
        <is>
          <t>2. No celular</t>
        </is>
      </c>
      <c r="B12" s="37" t="inlineStr">
        <is>
          <t>Abra a aba 'Preencher pelo celular'. Cada dia já tem as 6 refeições prontas, na ordem: Café da manhã, Lanche, Almoço, Café da tarde, Janta e Ceia.</t>
        </is>
      </c>
    </row>
    <row r="13">
      <c r="A13" s="40" t="inlineStr">
        <is>
          <t>3. Antes de comer</t>
        </is>
      </c>
      <c r="B13" s="37" t="inlineStr">
        <is>
          <t>Na linha do dia e da refeição, anote o horário, a glicemia antes (mg/dL) e as unidades de insulina aplicadas.</t>
        </is>
      </c>
    </row>
    <row r="14">
      <c r="A14" s="40" t="inlineStr">
        <is>
          <t>4. Durante</t>
        </is>
      </c>
      <c r="B14" s="37" t="inlineStr">
        <is>
          <t>Anote o horário da refeição, o que comeu e bebeu e, se a família conta, os carboidratos em gramas.</t>
        </is>
      </c>
    </row>
    <row r="15">
      <c r="A15" s="40" t="inlineStr">
        <is>
          <t>5. Duas horas depois</t>
        </is>
      </c>
      <c r="B15" s="37" t="inlineStr">
        <is>
          <t>Anote o horário e a glicemia 2 horas depois (mg/dL). Use Observações quando necessário (ex.: hipoglicemia, atividade física, refeição fora de casa).</t>
        </is>
      </c>
    </row>
    <row r="16">
      <c r="A16" s="40" t="inlineStr">
        <is>
          <t>6. Consulta médica</t>
        </is>
      </c>
      <c r="B16" s="37" t="inlineStr">
        <is>
          <t>Aba 'Histórico por dia': um dia por linha, pronta para imprimir. Aba 'Resumo': médias por refeição no período escolhido.</t>
        </is>
      </c>
    </row>
    <row r="17">
      <c r="A17" s="36" t="inlineStr"/>
      <c r="B17" s="37" t="inlineStr"/>
    </row>
    <row r="18">
      <c r="A18" s="40" t="inlineStr">
        <is>
          <t>Exemplo de preenchimento</t>
        </is>
      </c>
      <c r="B18" s="41" t="inlineStr">
        <is>
          <t>Café da manhã | Antes: 132 | Insulina: 4 | Pão francês com queijo e café sem açúcar | 2h depois: 168</t>
        </is>
      </c>
    </row>
    <row r="19">
      <c r="A19" s="36" t="inlineStr"/>
      <c r="B19" s="37" t="inlineStr"/>
    </row>
    <row r="20">
      <c r="A20" s="40" t="inlineStr">
        <is>
          <t>Cuidados</t>
        </is>
      </c>
      <c r="B20" s="37" t="inlineStr">
        <is>
          <t>Não insira nem apague linhas na aba de preenchimento: cada linha já corresponde a um dia e uma refeição. Refeição que não aconteceu: deixe em branco.</t>
        </is>
      </c>
    </row>
    <row r="21">
      <c r="A21" s="40" t="inlineStr">
        <is>
          <t>Capacidade</t>
        </is>
      </c>
      <c r="B21" s="37" t="inlineStr">
        <is>
          <t>90 dias a partir da data de início. Para um novo período, salve uma cópia do arquivo e altere a data de início.</t>
        </is>
      </c>
    </row>
    <row r="22">
      <c r="A22" s="36" t="inlineStr"/>
      <c r="B22" s="37" t="inlineStr"/>
    </row>
    <row r="23">
      <c r="A23" s="40" t="inlineStr">
        <is>
          <t>Observação</t>
        </is>
      </c>
      <c r="B23" s="37" t="inlineStr">
        <is>
          <t>Este controle é destinado ao registro e acompanhamento das informações. Metas de glicemia, doses de insulina e decisões de tratamento devem seguir as orientações da equipe médica responsável.</t>
        </is>
      </c>
    </row>
  </sheetData>
  <mergeCells count="1">
    <mergeCell ref="A1:B1"/>
  </mergeCells>
  <dataValidations count="1">
    <dataValidation sqref="B4" showDropDown="0" showInputMessage="0" showErrorMessage="1" allowBlank="0" errorTitle="Data inválida" error="Digite uma data (dd/mm/aaaa)." type="date" operator="greaterThan">
      <formula1>36526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E11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2" customWidth="1" min="3" max="3"/>
    <col width="41" customWidth="1" min="4" max="4"/>
    <col width="22" customWidth="1" min="5" max="5"/>
  </cols>
  <sheetData>
    <row r="1" ht="32" customHeight="1">
      <c r="A1" s="1" t="inlineStr">
        <is>
          <t>CONTROLE DE GLICEMIA</t>
        </is>
      </c>
    </row>
    <row r="2" ht="25" customHeight="1">
      <c r="A2" s="2" t="inlineStr">
        <is>
          <t>Data: ____ / ____ / ______</t>
        </is>
      </c>
    </row>
    <row r="3" ht="42" customHeight="1">
      <c r="A3" s="3" t="inlineStr">
        <is>
          <t>REFEIÇÃO</t>
        </is>
      </c>
      <c r="B3" s="3" t="inlineStr">
        <is>
          <t>GLICEMIA ANTES</t>
        </is>
      </c>
      <c r="C3" s="3" t="inlineStr">
        <is>
          <t>QUANTAS UNIDADES
DE INSULINA</t>
        </is>
      </c>
      <c r="D3" s="3" t="inlineStr">
        <is>
          <t>O QUE COMEU E BEBEU</t>
        </is>
      </c>
      <c r="E3" s="3" t="inlineStr">
        <is>
          <t>GLICEMIA
2 HORAS DEPOIS</t>
        </is>
      </c>
    </row>
    <row r="4" ht="64" customHeight="1">
      <c r="A4" s="4" t="inlineStr">
        <is>
          <t>Café da manhã</t>
        </is>
      </c>
      <c r="B4" s="5" t="inlineStr"/>
      <c r="C4" s="5" t="inlineStr"/>
      <c r="D4" s="6" t="inlineStr"/>
      <c r="E4" s="5" t="inlineStr"/>
    </row>
    <row r="5" ht="64" customHeight="1">
      <c r="A5" s="7" t="inlineStr">
        <is>
          <t>Lanche</t>
        </is>
      </c>
      <c r="B5" s="8" t="inlineStr"/>
      <c r="C5" s="8" t="inlineStr"/>
      <c r="D5" s="9" t="inlineStr"/>
      <c r="E5" s="8" t="inlineStr"/>
    </row>
    <row r="6" ht="64" customHeight="1">
      <c r="A6" s="4" t="inlineStr">
        <is>
          <t>Almoço</t>
        </is>
      </c>
      <c r="B6" s="5" t="inlineStr"/>
      <c r="C6" s="5" t="inlineStr"/>
      <c r="D6" s="6" t="inlineStr"/>
      <c r="E6" s="5" t="inlineStr"/>
    </row>
    <row r="7" ht="64" customHeight="1">
      <c r="A7" s="7" t="inlineStr">
        <is>
          <t>Café da tarde</t>
        </is>
      </c>
      <c r="B7" s="8" t="inlineStr"/>
      <c r="C7" s="8" t="inlineStr"/>
      <c r="D7" s="9" t="inlineStr"/>
      <c r="E7" s="8" t="inlineStr"/>
    </row>
    <row r="8" ht="64" customHeight="1">
      <c r="A8" s="4" t="inlineStr">
        <is>
          <t>Janta</t>
        </is>
      </c>
      <c r="B8" s="5" t="inlineStr"/>
      <c r="C8" s="5" t="inlineStr"/>
      <c r="D8" s="6" t="inlineStr"/>
      <c r="E8" s="5" t="inlineStr"/>
    </row>
    <row r="9" ht="64" customHeight="1">
      <c r="A9" s="7" t="inlineStr">
        <is>
          <t>Ceia</t>
        </is>
      </c>
      <c r="B9" s="8" t="inlineStr"/>
      <c r="C9" s="8" t="inlineStr"/>
      <c r="D9" s="9" t="inlineStr"/>
      <c r="E9" s="8" t="inlineStr"/>
    </row>
    <row r="11" ht="22" customHeight="1">
      <c r="A11" s="10" t="inlineStr">
        <is>
          <t>Registro para acompanhamento e apresentação à equipe de saúde.</t>
        </is>
      </c>
    </row>
  </sheetData>
  <mergeCells count="3">
    <mergeCell ref="A2:E2"/>
    <mergeCell ref="A11:E11"/>
    <mergeCell ref="A1:E1"/>
  </mergeCells>
  <printOptions horizontalCentered="1"/>
  <pageMargins left="0.3" right="0.3" top="0.35" bottom="0.35" header="0.15" footer="0.1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2026-09-24T22:34:25Z</dcterms:created>
  <dcterms:modified xmlns:dcterms="http://purl.org/dc/terms/" xmlns:xsi="http://www.w3.org/2001/XMLSchema-instance" xsi:type="dcterms:W3CDTF">2026-09-27T20:30:13Z</dcterms:modified>
</cp:coreProperties>
</file>