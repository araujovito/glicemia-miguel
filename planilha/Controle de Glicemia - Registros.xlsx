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TOR~1.BAR\AppData\Local\Temp\"/>
    </mc:Choice>
  </mc:AlternateContent>
  <xr:revisionPtr revIDLastSave="0" documentId="13_ncr:1_{707B1091-2E01-4E6B-95B9-899CF9526C9E}" xr6:coauthVersionLast="47" xr6:coauthVersionMax="47" xr10:uidLastSave="{00000000-0000-0000-0000-000000000000}"/>
  <bookViews>
    <workbookView xWindow="-4545" yWindow="-13620" windowWidth="15375" windowHeight="7785" xr2:uid="{00000000-000D-0000-FFFF-FFFF00000000}"/>
  </bookViews>
  <sheets>
    <sheet name="Preencher pelo celular" sheetId="1" r:id="rId1"/>
    <sheet name="Histórico por dia" sheetId="2" r:id="rId2"/>
    <sheet name="Resumo" sheetId="3" r:id="rId3"/>
    <sheet name="Como usar" sheetId="4" r:id="rId4"/>
    <sheet name="Folha diária A4" sheetId="5" r:id="rId5"/>
  </sheets>
  <definedNames>
    <definedName name="_xlnm._FilterDatabase" localSheetId="0" hidden="1">'Preencher pelo celular'!$A$1:$G$541</definedName>
    <definedName name="_xlnm.Print_Area" localSheetId="4">'Folha diária A4'!$A$1:$E$11</definedName>
    <definedName name="_xlnm.Print_Titles" localSheetId="1">'Histórico por dia'!$2:$3</definedName>
    <definedName name="_xlnm.Print_Titles" localSheetId="0">'Preencher pelo celular'!$1:$1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3" i="3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T93" i="2" s="1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U92" i="2" s="1"/>
  <c r="C92" i="2"/>
  <c r="B92" i="2"/>
  <c r="T92" i="2" s="1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V91" i="2" s="1"/>
  <c r="E91" i="2"/>
  <c r="D91" i="2"/>
  <c r="U91" i="2" s="1"/>
  <c r="C91" i="2"/>
  <c r="B91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T90" i="2" s="1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V89" i="2" s="1"/>
  <c r="B89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V87" i="2" s="1"/>
  <c r="B87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T86" i="2" s="1"/>
  <c r="D86" i="2"/>
  <c r="C86" i="2"/>
  <c r="V86" i="2" s="1"/>
  <c r="B86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V85" i="2" s="1"/>
  <c r="B85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U82" i="2" s="1"/>
  <c r="C82" i="2"/>
  <c r="B82" i="2"/>
  <c r="T82" i="2" s="1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U81" i="2" s="1"/>
  <c r="C81" i="2"/>
  <c r="B81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V80" i="2" s="1"/>
  <c r="E80" i="2"/>
  <c r="D80" i="2"/>
  <c r="C80" i="2"/>
  <c r="B80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V78" i="2" s="1"/>
  <c r="B78" i="2"/>
  <c r="T78" i="2" s="1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U74" i="2" s="1"/>
  <c r="C74" i="2"/>
  <c r="B74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V73" i="2" s="1"/>
  <c r="E73" i="2"/>
  <c r="D73" i="2"/>
  <c r="C73" i="2"/>
  <c r="B73" i="2"/>
  <c r="S72" i="2"/>
  <c r="R72" i="2"/>
  <c r="Q72" i="2"/>
  <c r="P72" i="2"/>
  <c r="O72" i="2"/>
  <c r="N72" i="2"/>
  <c r="M72" i="2"/>
  <c r="L72" i="2"/>
  <c r="K72" i="2"/>
  <c r="J72" i="2"/>
  <c r="I72" i="2"/>
  <c r="H72" i="2"/>
  <c r="T72" i="2" s="1"/>
  <c r="G72" i="2"/>
  <c r="F72" i="2"/>
  <c r="E72" i="2"/>
  <c r="D72" i="2"/>
  <c r="C72" i="2"/>
  <c r="B72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T70" i="2" s="1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T66" i="2" s="1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T64" i="2" s="1"/>
  <c r="S63" i="2"/>
  <c r="R63" i="2"/>
  <c r="Q63" i="2"/>
  <c r="P63" i="2"/>
  <c r="O63" i="2"/>
  <c r="N63" i="2"/>
  <c r="T63" i="2" s="1"/>
  <c r="M63" i="2"/>
  <c r="L63" i="2"/>
  <c r="K63" i="2"/>
  <c r="J63" i="2"/>
  <c r="I63" i="2"/>
  <c r="H63" i="2"/>
  <c r="G63" i="2"/>
  <c r="F63" i="2"/>
  <c r="E63" i="2"/>
  <c r="D63" i="2"/>
  <c r="U63" i="2" s="1"/>
  <c r="C63" i="2"/>
  <c r="B63" i="2"/>
  <c r="S62" i="2"/>
  <c r="R62" i="2"/>
  <c r="Q62" i="2"/>
  <c r="P62" i="2"/>
  <c r="O62" i="2"/>
  <c r="N62" i="2"/>
  <c r="M62" i="2"/>
  <c r="L62" i="2"/>
  <c r="K62" i="2"/>
  <c r="T62" i="2" s="1"/>
  <c r="J62" i="2"/>
  <c r="I62" i="2"/>
  <c r="H62" i="2"/>
  <c r="G62" i="2"/>
  <c r="F62" i="2"/>
  <c r="E62" i="2"/>
  <c r="D62" i="2"/>
  <c r="C62" i="2"/>
  <c r="B62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V60" i="2" s="1"/>
  <c r="B60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T58" i="2" s="1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V54" i="2" s="1"/>
  <c r="B54" i="2"/>
  <c r="T54" i="2" s="1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T50" i="2" s="1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T46" i="2" s="1"/>
  <c r="D46" i="2"/>
  <c r="C46" i="2"/>
  <c r="B46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V44" i="2" s="1"/>
  <c r="B44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T42" i="2" s="1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V38" i="2" s="1"/>
  <c r="B38" i="2"/>
  <c r="T38" i="2" s="1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T34" i="2" s="1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T30" i="2" s="1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V28" i="2" s="1"/>
  <c r="B28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T26" i="2" s="1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V22" i="2" s="1"/>
  <c r="B22" i="2"/>
  <c r="T22" i="2" s="1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T18" i="2" s="1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T14" i="2" s="1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V12" i="2" s="1"/>
  <c r="B12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S10" i="2"/>
  <c r="R10" i="2"/>
  <c r="Q10" i="2"/>
  <c r="P10" i="2"/>
  <c r="O10" i="2"/>
  <c r="N10" i="2"/>
  <c r="M10" i="2"/>
  <c r="L10" i="2"/>
  <c r="K10" i="2"/>
  <c r="T10" i="2" s="1"/>
  <c r="J10" i="2"/>
  <c r="I10" i="2"/>
  <c r="H10" i="2"/>
  <c r="G10" i="2"/>
  <c r="F10" i="2"/>
  <c r="E10" i="2"/>
  <c r="D10" i="2"/>
  <c r="C10" i="2"/>
  <c r="B10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V6" i="2" s="1"/>
  <c r="B6" i="2"/>
  <c r="T6" i="2" s="1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541" i="1"/>
  <c r="A540" i="1"/>
  <c r="A539" i="1"/>
  <c r="A538" i="1"/>
  <c r="A537" i="1"/>
  <c r="A536" i="1"/>
  <c r="A93" i="2" s="1"/>
  <c r="A535" i="1"/>
  <c r="A534" i="1"/>
  <c r="A533" i="1"/>
  <c r="A532" i="1"/>
  <c r="A531" i="1"/>
  <c r="A530" i="1"/>
  <c r="A92" i="2" s="1"/>
  <c r="A529" i="1"/>
  <c r="A528" i="1"/>
  <c r="A527" i="1"/>
  <c r="A526" i="1"/>
  <c r="A525" i="1"/>
  <c r="A524" i="1"/>
  <c r="A91" i="2" s="1"/>
  <c r="A523" i="1"/>
  <c r="A522" i="1"/>
  <c r="A521" i="1"/>
  <c r="A520" i="1"/>
  <c r="A519" i="1"/>
  <c r="A518" i="1"/>
  <c r="A90" i="2" s="1"/>
  <c r="A517" i="1"/>
  <c r="A516" i="1"/>
  <c r="A515" i="1"/>
  <c r="A514" i="1"/>
  <c r="A513" i="1"/>
  <c r="A512" i="1"/>
  <c r="A89" i="2" s="1"/>
  <c r="A511" i="1"/>
  <c r="A510" i="1"/>
  <c r="A509" i="1"/>
  <c r="A508" i="1"/>
  <c r="A507" i="1"/>
  <c r="A506" i="1"/>
  <c r="A88" i="2" s="1"/>
  <c r="A505" i="1"/>
  <c r="A504" i="1"/>
  <c r="A503" i="1"/>
  <c r="A502" i="1"/>
  <c r="A501" i="1"/>
  <c r="A500" i="1"/>
  <c r="A87" i="2" s="1"/>
  <c r="A499" i="1"/>
  <c r="A498" i="1"/>
  <c r="A497" i="1"/>
  <c r="A496" i="1"/>
  <c r="A495" i="1"/>
  <c r="A494" i="1"/>
  <c r="A86" i="2" s="1"/>
  <c r="A493" i="1"/>
  <c r="A492" i="1"/>
  <c r="A491" i="1"/>
  <c r="A490" i="1"/>
  <c r="A489" i="1"/>
  <c r="A488" i="1"/>
  <c r="A85" i="2" s="1"/>
  <c r="A487" i="1"/>
  <c r="A486" i="1"/>
  <c r="A485" i="1"/>
  <c r="A484" i="1"/>
  <c r="A483" i="1"/>
  <c r="A482" i="1"/>
  <c r="A84" i="2" s="1"/>
  <c r="A481" i="1"/>
  <c r="A480" i="1"/>
  <c r="A479" i="1"/>
  <c r="A478" i="1"/>
  <c r="A477" i="1"/>
  <c r="A476" i="1"/>
  <c r="A83" i="2" s="1"/>
  <c r="A475" i="1"/>
  <c r="A474" i="1"/>
  <c r="A473" i="1"/>
  <c r="A472" i="1"/>
  <c r="A471" i="1"/>
  <c r="A470" i="1"/>
  <c r="A82" i="2" s="1"/>
  <c r="A469" i="1"/>
  <c r="A468" i="1"/>
  <c r="A467" i="1"/>
  <c r="A466" i="1"/>
  <c r="A465" i="1"/>
  <c r="A464" i="1"/>
  <c r="A81" i="2" s="1"/>
  <c r="A463" i="1"/>
  <c r="A462" i="1"/>
  <c r="A461" i="1"/>
  <c r="A460" i="1"/>
  <c r="A459" i="1"/>
  <c r="A458" i="1"/>
  <c r="A80" i="2" s="1"/>
  <c r="A457" i="1"/>
  <c r="A456" i="1"/>
  <c r="A455" i="1"/>
  <c r="A454" i="1"/>
  <c r="A453" i="1"/>
  <c r="A452" i="1"/>
  <c r="A79" i="2" s="1"/>
  <c r="A451" i="1"/>
  <c r="A450" i="1"/>
  <c r="A449" i="1"/>
  <c r="A448" i="1"/>
  <c r="A447" i="1"/>
  <c r="A446" i="1"/>
  <c r="A78" i="2" s="1"/>
  <c r="A445" i="1"/>
  <c r="A444" i="1"/>
  <c r="A443" i="1"/>
  <c r="A442" i="1"/>
  <c r="A441" i="1"/>
  <c r="A440" i="1"/>
  <c r="A77" i="2" s="1"/>
  <c r="A439" i="1"/>
  <c r="A438" i="1"/>
  <c r="A437" i="1"/>
  <c r="A436" i="1"/>
  <c r="A435" i="1"/>
  <c r="A434" i="1"/>
  <c r="A76" i="2" s="1"/>
  <c r="A433" i="1"/>
  <c r="A432" i="1"/>
  <c r="A431" i="1"/>
  <c r="A430" i="1"/>
  <c r="A429" i="1"/>
  <c r="A428" i="1"/>
  <c r="A75" i="2" s="1"/>
  <c r="A427" i="1"/>
  <c r="A426" i="1"/>
  <c r="A425" i="1"/>
  <c r="A424" i="1"/>
  <c r="A423" i="1"/>
  <c r="A422" i="1"/>
  <c r="A74" i="2" s="1"/>
  <c r="A421" i="1"/>
  <c r="A420" i="1"/>
  <c r="A419" i="1"/>
  <c r="A418" i="1"/>
  <c r="A417" i="1"/>
  <c r="A416" i="1"/>
  <c r="A73" i="2" s="1"/>
  <c r="A415" i="1"/>
  <c r="A414" i="1"/>
  <c r="A413" i="1"/>
  <c r="A412" i="1"/>
  <c r="A411" i="1"/>
  <c r="A410" i="1"/>
  <c r="A72" i="2" s="1"/>
  <c r="A409" i="1"/>
  <c r="A408" i="1"/>
  <c r="A407" i="1"/>
  <c r="A406" i="1"/>
  <c r="A405" i="1"/>
  <c r="A404" i="1"/>
  <c r="A71" i="2" s="1"/>
  <c r="A403" i="1"/>
  <c r="A402" i="1"/>
  <c r="A401" i="1"/>
  <c r="A400" i="1"/>
  <c r="A399" i="1"/>
  <c r="A398" i="1"/>
  <c r="A70" i="2" s="1"/>
  <c r="A397" i="1"/>
  <c r="A396" i="1"/>
  <c r="A395" i="1"/>
  <c r="A394" i="1"/>
  <c r="A393" i="1"/>
  <c r="A392" i="1"/>
  <c r="A69" i="2" s="1"/>
  <c r="A391" i="1"/>
  <c r="A390" i="1"/>
  <c r="A389" i="1"/>
  <c r="A388" i="1"/>
  <c r="A387" i="1"/>
  <c r="A386" i="1"/>
  <c r="A68" i="2" s="1"/>
  <c r="A385" i="1"/>
  <c r="A384" i="1"/>
  <c r="A383" i="1"/>
  <c r="A382" i="1"/>
  <c r="A381" i="1"/>
  <c r="A380" i="1"/>
  <c r="A67" i="2" s="1"/>
  <c r="A379" i="1"/>
  <c r="A378" i="1"/>
  <c r="A377" i="1"/>
  <c r="A376" i="1"/>
  <c r="A375" i="1"/>
  <c r="A374" i="1"/>
  <c r="A66" i="2" s="1"/>
  <c r="A373" i="1"/>
  <c r="A372" i="1"/>
  <c r="A371" i="1"/>
  <c r="A370" i="1"/>
  <c r="A369" i="1"/>
  <c r="A368" i="1"/>
  <c r="A65" i="2" s="1"/>
  <c r="A367" i="1"/>
  <c r="A366" i="1"/>
  <c r="A365" i="1"/>
  <c r="A364" i="1"/>
  <c r="A363" i="1"/>
  <c r="A362" i="1"/>
  <c r="A64" i="2" s="1"/>
  <c r="A361" i="1"/>
  <c r="A360" i="1"/>
  <c r="A359" i="1"/>
  <c r="A358" i="1"/>
  <c r="A357" i="1"/>
  <c r="A356" i="1"/>
  <c r="A63" i="2" s="1"/>
  <c r="A355" i="1"/>
  <c r="A354" i="1"/>
  <c r="A353" i="1"/>
  <c r="A352" i="1"/>
  <c r="A351" i="1"/>
  <c r="A350" i="1"/>
  <c r="A62" i="2" s="1"/>
  <c r="A349" i="1"/>
  <c r="A348" i="1"/>
  <c r="A347" i="1"/>
  <c r="A346" i="1"/>
  <c r="A345" i="1"/>
  <c r="A344" i="1"/>
  <c r="A61" i="2" s="1"/>
  <c r="A343" i="1"/>
  <c r="A342" i="1"/>
  <c r="A341" i="1"/>
  <c r="A340" i="1"/>
  <c r="A339" i="1"/>
  <c r="A338" i="1"/>
  <c r="A60" i="2" s="1"/>
  <c r="A337" i="1"/>
  <c r="A336" i="1"/>
  <c r="A335" i="1"/>
  <c r="A334" i="1"/>
  <c r="A333" i="1"/>
  <c r="A332" i="1"/>
  <c r="A59" i="2" s="1"/>
  <c r="A331" i="1"/>
  <c r="A330" i="1"/>
  <c r="A329" i="1"/>
  <c r="A328" i="1"/>
  <c r="A327" i="1"/>
  <c r="A326" i="1"/>
  <c r="A58" i="2" s="1"/>
  <c r="A325" i="1"/>
  <c r="A324" i="1"/>
  <c r="A323" i="1"/>
  <c r="A322" i="1"/>
  <c r="A321" i="1"/>
  <c r="A320" i="1"/>
  <c r="A57" i="2" s="1"/>
  <c r="A319" i="1"/>
  <c r="A318" i="1"/>
  <c r="A317" i="1"/>
  <c r="A316" i="1"/>
  <c r="A315" i="1"/>
  <c r="A314" i="1"/>
  <c r="A56" i="2" s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54" i="2" s="1"/>
  <c r="A301" i="1"/>
  <c r="A300" i="1"/>
  <c r="A299" i="1"/>
  <c r="A298" i="1"/>
  <c r="A297" i="1"/>
  <c r="A296" i="1"/>
  <c r="A53" i="2" s="1"/>
  <c r="A295" i="1"/>
  <c r="A294" i="1"/>
  <c r="A293" i="1"/>
  <c r="A292" i="1"/>
  <c r="A291" i="1"/>
  <c r="A290" i="1"/>
  <c r="A52" i="2" s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50" i="2" s="1"/>
  <c r="A277" i="1"/>
  <c r="A276" i="1"/>
  <c r="A275" i="1"/>
  <c r="A274" i="1"/>
  <c r="A273" i="1"/>
  <c r="A272" i="1"/>
  <c r="A49" i="2" s="1"/>
  <c r="A271" i="1"/>
  <c r="A270" i="1"/>
  <c r="A269" i="1"/>
  <c r="A268" i="1"/>
  <c r="A267" i="1"/>
  <c r="A266" i="1"/>
  <c r="A48" i="2" s="1"/>
  <c r="A265" i="1"/>
  <c r="A264" i="1"/>
  <c r="A263" i="1"/>
  <c r="A262" i="1"/>
  <c r="A261" i="1"/>
  <c r="A260" i="1"/>
  <c r="A47" i="2" s="1"/>
  <c r="A259" i="1"/>
  <c r="A258" i="1"/>
  <c r="A257" i="1"/>
  <c r="A256" i="1"/>
  <c r="A255" i="1"/>
  <c r="A254" i="1"/>
  <c r="A46" i="2" s="1"/>
  <c r="A253" i="1"/>
  <c r="A252" i="1"/>
  <c r="A251" i="1"/>
  <c r="A250" i="1"/>
  <c r="A249" i="1"/>
  <c r="A248" i="1"/>
  <c r="A45" i="2" s="1"/>
  <c r="A247" i="1"/>
  <c r="A246" i="1"/>
  <c r="A245" i="1"/>
  <c r="A244" i="1"/>
  <c r="A243" i="1"/>
  <c r="A242" i="1"/>
  <c r="A44" i="2" s="1"/>
  <c r="A241" i="1"/>
  <c r="A240" i="1"/>
  <c r="A239" i="1"/>
  <c r="A238" i="1"/>
  <c r="A237" i="1"/>
  <c r="A236" i="1"/>
  <c r="A43" i="2" s="1"/>
  <c r="A235" i="1"/>
  <c r="A234" i="1"/>
  <c r="A233" i="1"/>
  <c r="A232" i="1"/>
  <c r="A231" i="1"/>
  <c r="A230" i="1"/>
  <c r="A42" i="2" s="1"/>
  <c r="A229" i="1"/>
  <c r="A228" i="1"/>
  <c r="A227" i="1"/>
  <c r="A226" i="1"/>
  <c r="A225" i="1"/>
  <c r="A224" i="1"/>
  <c r="A41" i="2" s="1"/>
  <c r="A223" i="1"/>
  <c r="A222" i="1"/>
  <c r="A221" i="1"/>
  <c r="A220" i="1"/>
  <c r="A219" i="1"/>
  <c r="A218" i="1"/>
  <c r="A40" i="2" s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38" i="2" s="1"/>
  <c r="A205" i="1"/>
  <c r="A204" i="1"/>
  <c r="A203" i="1"/>
  <c r="A202" i="1"/>
  <c r="A201" i="1"/>
  <c r="A200" i="1"/>
  <c r="A37" i="2" s="1"/>
  <c r="A199" i="1"/>
  <c r="A198" i="1"/>
  <c r="A197" i="1"/>
  <c r="A196" i="1"/>
  <c r="A195" i="1"/>
  <c r="A194" i="1"/>
  <c r="A36" i="2" s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34" i="2" s="1"/>
  <c r="A181" i="1"/>
  <c r="A180" i="1"/>
  <c r="A179" i="1"/>
  <c r="A178" i="1"/>
  <c r="A177" i="1"/>
  <c r="A176" i="1"/>
  <c r="A33" i="2" s="1"/>
  <c r="A175" i="1"/>
  <c r="A174" i="1"/>
  <c r="A173" i="1"/>
  <c r="A172" i="1"/>
  <c r="A171" i="1"/>
  <c r="A170" i="1"/>
  <c r="A32" i="2" s="1"/>
  <c r="A169" i="1"/>
  <c r="A168" i="1"/>
  <c r="A167" i="1"/>
  <c r="A166" i="1"/>
  <c r="A165" i="1"/>
  <c r="A164" i="1"/>
  <c r="A31" i="2" s="1"/>
  <c r="A163" i="1"/>
  <c r="A162" i="1"/>
  <c r="A161" i="1"/>
  <c r="A160" i="1"/>
  <c r="A159" i="1"/>
  <c r="A158" i="1"/>
  <c r="A30" i="2" s="1"/>
  <c r="A157" i="1"/>
  <c r="A156" i="1"/>
  <c r="A155" i="1"/>
  <c r="A154" i="1"/>
  <c r="A153" i="1"/>
  <c r="A152" i="1"/>
  <c r="A29" i="2" s="1"/>
  <c r="A151" i="1"/>
  <c r="A150" i="1"/>
  <c r="A149" i="1"/>
  <c r="A148" i="1"/>
  <c r="A147" i="1"/>
  <c r="A146" i="1"/>
  <c r="A28" i="2" s="1"/>
  <c r="A145" i="1"/>
  <c r="A144" i="1"/>
  <c r="A143" i="1"/>
  <c r="A142" i="1"/>
  <c r="A141" i="1"/>
  <c r="A140" i="1"/>
  <c r="A27" i="2" s="1"/>
  <c r="A139" i="1"/>
  <c r="A138" i="1"/>
  <c r="A137" i="1"/>
  <c r="A136" i="1"/>
  <c r="A135" i="1"/>
  <c r="A134" i="1"/>
  <c r="A26" i="2" s="1"/>
  <c r="A133" i="1"/>
  <c r="A132" i="1"/>
  <c r="A131" i="1"/>
  <c r="A130" i="1"/>
  <c r="A129" i="1"/>
  <c r="A128" i="1"/>
  <c r="A25" i="2" s="1"/>
  <c r="A127" i="1"/>
  <c r="A126" i="1"/>
  <c r="A125" i="1"/>
  <c r="A124" i="1"/>
  <c r="A123" i="1"/>
  <c r="A122" i="1"/>
  <c r="A24" i="2" s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22" i="2" s="1"/>
  <c r="A109" i="1"/>
  <c r="A108" i="1"/>
  <c r="A107" i="1"/>
  <c r="A106" i="1"/>
  <c r="A105" i="1"/>
  <c r="A104" i="1"/>
  <c r="A21" i="2" s="1"/>
  <c r="A103" i="1"/>
  <c r="A102" i="1"/>
  <c r="A101" i="1"/>
  <c r="A100" i="1"/>
  <c r="A99" i="1"/>
  <c r="A98" i="1"/>
  <c r="A20" i="2" s="1"/>
  <c r="A97" i="1"/>
  <c r="A96" i="1"/>
  <c r="A95" i="1"/>
  <c r="A94" i="1"/>
  <c r="A93" i="1"/>
  <c r="A92" i="1"/>
  <c r="A91" i="1"/>
  <c r="A90" i="1"/>
  <c r="A89" i="1"/>
  <c r="A88" i="1"/>
  <c r="A87" i="1"/>
  <c r="A86" i="1"/>
  <c r="A18" i="2" s="1"/>
  <c r="A85" i="1"/>
  <c r="A84" i="1"/>
  <c r="A83" i="1"/>
  <c r="A82" i="1"/>
  <c r="A81" i="1"/>
  <c r="A80" i="1"/>
  <c r="A17" i="2" s="1"/>
  <c r="A79" i="1"/>
  <c r="A78" i="1"/>
  <c r="A77" i="1"/>
  <c r="A76" i="1"/>
  <c r="A75" i="1"/>
  <c r="A74" i="1"/>
  <c r="A16" i="2" s="1"/>
  <c r="A73" i="1"/>
  <c r="A72" i="1"/>
  <c r="A71" i="1"/>
  <c r="A70" i="1"/>
  <c r="A69" i="1"/>
  <c r="A68" i="1"/>
  <c r="A15" i="2" s="1"/>
  <c r="A67" i="1"/>
  <c r="A66" i="1"/>
  <c r="A65" i="1"/>
  <c r="A64" i="1"/>
  <c r="A63" i="1"/>
  <c r="A62" i="1"/>
  <c r="A14" i="2" s="1"/>
  <c r="A61" i="1"/>
  <c r="A60" i="1"/>
  <c r="A59" i="1"/>
  <c r="A58" i="1"/>
  <c r="A57" i="1"/>
  <c r="A56" i="1"/>
  <c r="A13" i="2" s="1"/>
  <c r="A55" i="1"/>
  <c r="A54" i="1"/>
  <c r="A53" i="1"/>
  <c r="A52" i="1"/>
  <c r="A51" i="1"/>
  <c r="A50" i="1"/>
  <c r="A12" i="2" s="1"/>
  <c r="A49" i="1"/>
  <c r="A48" i="1"/>
  <c r="A47" i="1"/>
  <c r="A46" i="1"/>
  <c r="A45" i="1"/>
  <c r="A44" i="1"/>
  <c r="A11" i="2" s="1"/>
  <c r="A43" i="1"/>
  <c r="A42" i="1"/>
  <c r="A41" i="1"/>
  <c r="A40" i="1"/>
  <c r="A39" i="1"/>
  <c r="A38" i="1"/>
  <c r="A10" i="2" s="1"/>
  <c r="A37" i="1"/>
  <c r="A36" i="1"/>
  <c r="A35" i="1"/>
  <c r="A34" i="1"/>
  <c r="A33" i="1"/>
  <c r="A32" i="1"/>
  <c r="A9" i="2" s="1"/>
  <c r="A31" i="1"/>
  <c r="A30" i="1"/>
  <c r="A29" i="1"/>
  <c r="A28" i="1"/>
  <c r="A27" i="1"/>
  <c r="A26" i="1"/>
  <c r="A8" i="2" s="1"/>
  <c r="A25" i="1"/>
  <c r="A24" i="1"/>
  <c r="A23" i="1"/>
  <c r="A22" i="1"/>
  <c r="A21" i="1"/>
  <c r="A20" i="1"/>
  <c r="A19" i="1"/>
  <c r="A18" i="1"/>
  <c r="A17" i="1"/>
  <c r="A16" i="1"/>
  <c r="F10" i="3" s="1"/>
  <c r="A15" i="1"/>
  <c r="A14" i="1"/>
  <c r="A6" i="2" s="1"/>
  <c r="A13" i="1"/>
  <c r="A12" i="1"/>
  <c r="A11" i="1"/>
  <c r="A10" i="1"/>
  <c r="A9" i="1"/>
  <c r="A8" i="1"/>
  <c r="A5" i="2" s="1"/>
  <c r="A7" i="1"/>
  <c r="A6" i="1"/>
  <c r="A5" i="1"/>
  <c r="A4" i="1"/>
  <c r="A3" i="1"/>
  <c r="H9" i="3" s="1"/>
  <c r="A2" i="1"/>
  <c r="A4" i="2" s="1"/>
  <c r="T4" i="2" l="1"/>
  <c r="V5" i="2"/>
  <c r="U6" i="2"/>
  <c r="V11" i="2"/>
  <c r="T11" i="2"/>
  <c r="U12" i="2"/>
  <c r="T13" i="2"/>
  <c r="U13" i="2"/>
  <c r="U15" i="2"/>
  <c r="T20" i="2"/>
  <c r="V21" i="2"/>
  <c r="U22" i="2"/>
  <c r="V27" i="2"/>
  <c r="T27" i="2"/>
  <c r="U28" i="2"/>
  <c r="T29" i="2"/>
  <c r="U29" i="2"/>
  <c r="U31" i="2"/>
  <c r="T36" i="2"/>
  <c r="V37" i="2"/>
  <c r="U38" i="2"/>
  <c r="V43" i="2"/>
  <c r="T43" i="2"/>
  <c r="U44" i="2"/>
  <c r="T45" i="2"/>
  <c r="U45" i="2"/>
  <c r="U47" i="2"/>
  <c r="T52" i="2"/>
  <c r="V53" i="2"/>
  <c r="U54" i="2"/>
  <c r="V59" i="2"/>
  <c r="T59" i="2"/>
  <c r="U60" i="2"/>
  <c r="T61" i="2"/>
  <c r="U67" i="2"/>
  <c r="T68" i="2"/>
  <c r="U78" i="2"/>
  <c r="V82" i="2"/>
  <c r="V84" i="2"/>
  <c r="U85" i="2"/>
  <c r="U88" i="2"/>
  <c r="T89" i="2"/>
  <c r="T91" i="2"/>
  <c r="V10" i="2"/>
  <c r="V16" i="2"/>
  <c r="T65" i="2"/>
  <c r="T8" i="2"/>
  <c r="V9" i="2"/>
  <c r="U10" i="2"/>
  <c r="V15" i="2"/>
  <c r="T15" i="2"/>
  <c r="U16" i="2"/>
  <c r="T17" i="2"/>
  <c r="U17" i="2"/>
  <c r="U19" i="2"/>
  <c r="T24" i="2"/>
  <c r="V25" i="2"/>
  <c r="U26" i="2"/>
  <c r="V31" i="2"/>
  <c r="T31" i="2"/>
  <c r="U32" i="2"/>
  <c r="T33" i="2"/>
  <c r="U33" i="2"/>
  <c r="U35" i="2"/>
  <c r="T40" i="2"/>
  <c r="V41" i="2"/>
  <c r="U42" i="2"/>
  <c r="V47" i="2"/>
  <c r="T47" i="2"/>
  <c r="U48" i="2"/>
  <c r="T49" i="2"/>
  <c r="U49" i="2"/>
  <c r="U51" i="2"/>
  <c r="T56" i="2"/>
  <c r="V57" i="2"/>
  <c r="U58" i="2"/>
  <c r="U61" i="2"/>
  <c r="V67" i="2"/>
  <c r="T67" i="2"/>
  <c r="U68" i="2"/>
  <c r="T69" i="2"/>
  <c r="U75" i="2"/>
  <c r="T76" i="2"/>
  <c r="U86" i="2"/>
  <c r="V88" i="2"/>
  <c r="U89" i="2"/>
  <c r="V93" i="2"/>
  <c r="V26" i="2"/>
  <c r="V58" i="2"/>
  <c r="V4" i="2"/>
  <c r="V14" i="2"/>
  <c r="V20" i="2"/>
  <c r="V30" i="2"/>
  <c r="V36" i="2"/>
  <c r="V46" i="2"/>
  <c r="V52" i="2"/>
  <c r="V62" i="2"/>
  <c r="V64" i="2"/>
  <c r="U65" i="2"/>
  <c r="V71" i="2"/>
  <c r="T71" i="2"/>
  <c r="U72" i="2"/>
  <c r="T73" i="2"/>
  <c r="U73" i="2"/>
  <c r="U79" i="2"/>
  <c r="T80" i="2"/>
  <c r="V90" i="2"/>
  <c r="V92" i="2"/>
  <c r="U93" i="2"/>
  <c r="C14" i="3"/>
  <c r="U64" i="2"/>
  <c r="U4" i="2"/>
  <c r="B5" i="3" s="1"/>
  <c r="T5" i="2"/>
  <c r="U5" i="2"/>
  <c r="U7" i="2"/>
  <c r="T12" i="2"/>
  <c r="V13" i="2"/>
  <c r="U14" i="2"/>
  <c r="V19" i="2"/>
  <c r="T19" i="2"/>
  <c r="U20" i="2"/>
  <c r="T21" i="2"/>
  <c r="U21" i="2"/>
  <c r="U23" i="2"/>
  <c r="T28" i="2"/>
  <c r="V29" i="2"/>
  <c r="U30" i="2"/>
  <c r="V35" i="2"/>
  <c r="T35" i="2"/>
  <c r="U36" i="2"/>
  <c r="T37" i="2"/>
  <c r="U37" i="2"/>
  <c r="U39" i="2"/>
  <c r="T44" i="2"/>
  <c r="V45" i="2"/>
  <c r="U46" i="2"/>
  <c r="V51" i="2"/>
  <c r="T51" i="2"/>
  <c r="U52" i="2"/>
  <c r="T53" i="2"/>
  <c r="U53" i="2"/>
  <c r="U55" i="2"/>
  <c r="T60" i="2"/>
  <c r="V61" i="2"/>
  <c r="U62" i="2"/>
  <c r="V66" i="2"/>
  <c r="V68" i="2"/>
  <c r="U69" i="2"/>
  <c r="V75" i="2"/>
  <c r="T75" i="2"/>
  <c r="U76" i="2"/>
  <c r="T77" i="2"/>
  <c r="U77" i="2"/>
  <c r="U83" i="2"/>
  <c r="T84" i="2"/>
  <c r="U90" i="2"/>
  <c r="F13" i="3"/>
  <c r="V8" i="2"/>
  <c r="V18" i="2"/>
  <c r="V24" i="2"/>
  <c r="V34" i="2"/>
  <c r="V40" i="2"/>
  <c r="V50" i="2"/>
  <c r="V56" i="2"/>
  <c r="V65" i="2"/>
  <c r="U66" i="2"/>
  <c r="V70" i="2"/>
  <c r="V72" i="2"/>
  <c r="V77" i="2"/>
  <c r="V79" i="2"/>
  <c r="T79" i="2"/>
  <c r="U80" i="2"/>
  <c r="T81" i="2"/>
  <c r="T83" i="2"/>
  <c r="U87" i="2"/>
  <c r="B8" i="3"/>
  <c r="E8" i="3" s="1"/>
  <c r="H13" i="3"/>
  <c r="V32" i="2"/>
  <c r="V42" i="2"/>
  <c r="V48" i="2"/>
  <c r="V63" i="2"/>
  <c r="U71" i="2"/>
  <c r="V7" i="2"/>
  <c r="T7" i="2"/>
  <c r="U8" i="2"/>
  <c r="T9" i="2"/>
  <c r="U9" i="2"/>
  <c r="U11" i="2"/>
  <c r="T16" i="2"/>
  <c r="V17" i="2"/>
  <c r="U18" i="2"/>
  <c r="V23" i="2"/>
  <c r="T23" i="2"/>
  <c r="U24" i="2"/>
  <c r="T25" i="2"/>
  <c r="U25" i="2"/>
  <c r="U27" i="2"/>
  <c r="T32" i="2"/>
  <c r="V33" i="2"/>
  <c r="U34" i="2"/>
  <c r="V39" i="2"/>
  <c r="T39" i="2"/>
  <c r="U40" i="2"/>
  <c r="T41" i="2"/>
  <c r="U41" i="2"/>
  <c r="U43" i="2"/>
  <c r="T48" i="2"/>
  <c r="V49" i="2"/>
  <c r="U50" i="2"/>
  <c r="V55" i="2"/>
  <c r="T55" i="2"/>
  <c r="U56" i="2"/>
  <c r="T57" i="2"/>
  <c r="U57" i="2"/>
  <c r="U59" i="2"/>
  <c r="V69" i="2"/>
  <c r="U70" i="2"/>
  <c r="V74" i="2"/>
  <c r="V76" i="2"/>
  <c r="V81" i="2"/>
  <c r="V83" i="2"/>
  <c r="U84" i="2"/>
  <c r="T85" i="2"/>
  <c r="T87" i="2"/>
  <c r="T88" i="2"/>
  <c r="B12" i="3"/>
  <c r="E12" i="3" s="1"/>
  <c r="H8" i="3"/>
  <c r="F9" i="3"/>
  <c r="B11" i="3"/>
  <c r="H12" i="3"/>
  <c r="G9" i="3"/>
  <c r="C11" i="3"/>
  <c r="G13" i="3"/>
  <c r="F14" i="3"/>
  <c r="C8" i="3"/>
  <c r="K8" i="3" s="1"/>
  <c r="G10" i="3"/>
  <c r="C12" i="3"/>
  <c r="G14" i="3"/>
  <c r="B9" i="3"/>
  <c r="H10" i="3"/>
  <c r="F11" i="3"/>
  <c r="D12" i="3"/>
  <c r="B13" i="3"/>
  <c r="H14" i="3"/>
  <c r="K14" i="3" s="1"/>
  <c r="C9" i="3"/>
  <c r="K9" i="3" s="1"/>
  <c r="G11" i="3"/>
  <c r="C13" i="3"/>
  <c r="K13" i="3" s="1"/>
  <c r="F8" i="3"/>
  <c r="B10" i="3"/>
  <c r="H11" i="3"/>
  <c r="F12" i="3"/>
  <c r="B14" i="3"/>
  <c r="G8" i="3"/>
  <c r="C10" i="3"/>
  <c r="K10" i="3" s="1"/>
  <c r="G12" i="3"/>
  <c r="D8" i="3" l="1"/>
  <c r="I11" i="3"/>
  <c r="J11" i="3"/>
  <c r="J9" i="3"/>
  <c r="I9" i="3"/>
  <c r="E10" i="3"/>
  <c r="D10" i="3"/>
  <c r="J12" i="3"/>
  <c r="I12" i="3"/>
  <c r="J14" i="3"/>
  <c r="I14" i="3"/>
  <c r="K11" i="3"/>
  <c r="J8" i="3"/>
  <c r="I8" i="3"/>
  <c r="E14" i="3"/>
  <c r="D14" i="3"/>
  <c r="K12" i="3"/>
  <c r="D11" i="3"/>
  <c r="E11" i="3"/>
  <c r="E9" i="3"/>
  <c r="D9" i="3"/>
  <c r="E13" i="3"/>
  <c r="D13" i="3"/>
  <c r="J10" i="3"/>
  <c r="I10" i="3"/>
  <c r="J13" i="3"/>
  <c r="I1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Controle</author>
  </authors>
  <commentList>
    <comment ref="K1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Diferença entre a média geral de 2h depois e a média geral antes.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Controle</author>
  </authors>
  <commentList>
    <comment ref="B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Troque pela data do primeiro dia de registro. As datas de todas as abas são geradas a partir dela.</t>
        </r>
      </text>
    </comment>
  </commentList>
</comments>
</file>

<file path=xl/sharedStrings.xml><?xml version="1.0" encoding="utf-8"?>
<sst xmlns="http://schemas.openxmlformats.org/spreadsheetml/2006/main" count="644" uniqueCount="75">
  <si>
    <t>Data</t>
  </si>
  <si>
    <t>Refeição</t>
  </si>
  <si>
    <t>Glicemia antes
(mg/dL)</t>
  </si>
  <si>
    <t>Insulina
(unidades)</t>
  </si>
  <si>
    <t>O que comeu e bebeu</t>
  </si>
  <si>
    <t>Glicemia 2h
depois (mg/dL)</t>
  </si>
  <si>
    <t>Observações</t>
  </si>
  <si>
    <t>Café da manhã</t>
  </si>
  <si>
    <t>Lanche</t>
  </si>
  <si>
    <t>Almoço</t>
  </si>
  <si>
    <t>Café da tarde</t>
  </si>
  <si>
    <t>Janta</t>
  </si>
  <si>
    <t>Ceia</t>
  </si>
  <si>
    <t>HISTÓRICO POR DIA - GLICEMIA (mg/dL) E INSULINA (unidades)</t>
  </si>
  <si>
    <t>Média antes</t>
  </si>
  <si>
    <t>Média 2h depois</t>
  </si>
  <si>
    <t>Insulina total</t>
  </si>
  <si>
    <t>Antes</t>
  </si>
  <si>
    <t>Insul.</t>
  </si>
  <si>
    <t>2h dep.</t>
  </si>
  <si>
    <t>Valores copiados automaticamente da aba 'Preencher pelo celular'. Observações e alimentação completas estão naquela aba.</t>
  </si>
  <si>
    <t>RESUMO PARA A EQUIPE MÉDICA</t>
  </si>
  <si>
    <t>Período de</t>
  </si>
  <si>
    <t>Pode trocar as datas para ver só um período (ex.: últimos 15 dias).</t>
  </si>
  <si>
    <t>Até</t>
  </si>
  <si>
    <t>Dias com registro</t>
  </si>
  <si>
    <t>Medições
antes</t>
  </si>
  <si>
    <t>Média
antes</t>
  </si>
  <si>
    <t>Mínima
antes</t>
  </si>
  <si>
    <t>Máxima
antes</t>
  </si>
  <si>
    <t>Média de
insulina (un.)</t>
  </si>
  <si>
    <t>Medições
2h depois</t>
  </si>
  <si>
    <t>Média
2h depois</t>
  </si>
  <si>
    <t>Mínima
2h depois</t>
  </si>
  <si>
    <t>Máxima
2h depois</t>
  </si>
  <si>
    <t>Variação média
(2h − antes)</t>
  </si>
  <si>
    <t>Todas as refeições</t>
  </si>
  <si>
    <t>Glicemias em mg/dL. Medições em branco não entram nas médias. Metas de glicemia, doses de insulina e decisões de tratamento devem seguir as orientações da equipe médica responsável.</t>
  </si>
  <si>
    <t>CONTROLE DE GLICEMIA - COMO USAR</t>
  </si>
  <si>
    <t>Configuração</t>
  </si>
  <si>
    <t>Data de início do controle</t>
  </si>
  <si>
    <t>Legenda</t>
  </si>
  <si>
    <t>Célula amarela</t>
  </si>
  <si>
    <t>Você preenche.</t>
  </si>
  <si>
    <t>Célula cinza</t>
  </si>
  <si>
    <t>Automática (data, refeição e cálculos). Não precisa mexer.</t>
  </si>
  <si>
    <t>Passo a passo</t>
  </si>
  <si>
    <t>1. Início</t>
  </si>
  <si>
    <t>Ajuste a data de início acima (uma única vez).</t>
  </si>
  <si>
    <t>2. No celular</t>
  </si>
  <si>
    <t>Abra a aba 'Preencher pelo celular'. Cada dia já tem as 6 refeições prontas, na ordem: Café da manhã, Lanche, Almoço, Café da tarde, Janta e Ceia.</t>
  </si>
  <si>
    <t>3. Antes de comer</t>
  </si>
  <si>
    <t>Na linha do dia e da refeição, anote a glicemia antes (mg/dL) e as unidades de insulina aplicadas.</t>
  </si>
  <si>
    <t>4. Durante</t>
  </si>
  <si>
    <t>Anote o que comeu e bebeu.</t>
  </si>
  <si>
    <t>5. Duas horas depois</t>
  </si>
  <si>
    <t>Anote a glicemia 2 horas depois (mg/dL). Use Observações quando necessário (ex.: hipoglicemia, atividade física, refeição fora de casa).</t>
  </si>
  <si>
    <t>6. Consulta médica</t>
  </si>
  <si>
    <t>Aba 'Histórico por dia': um dia por linha, pronta para imprimir. Aba 'Resumo': médias por refeição no período escolhido.</t>
  </si>
  <si>
    <t>Exemplo de preenchimento</t>
  </si>
  <si>
    <t>Café da manhã | Antes: 132 | Insulina: 4 | Pão francês com queijo e café sem açúcar | 2h depois: 168</t>
  </si>
  <si>
    <t>Cuidados</t>
  </si>
  <si>
    <t>Não insira nem apague linhas na aba de preenchimento: cada linha já corresponde a um dia e uma refeição. Refeição que não aconteceu: deixe em branco.</t>
  </si>
  <si>
    <t>Capacidade</t>
  </si>
  <si>
    <t>90 dias a partir da data de início. Para um novo período, salve uma cópia do arquivo e altere a data de início.</t>
  </si>
  <si>
    <t>Observação</t>
  </si>
  <si>
    <t>Este controle é destinado ao registro e acompanhamento das informações. Metas de glicemia, doses de insulina e decisões de tratamento devem seguir as orientações da equipe médica responsável.</t>
  </si>
  <si>
    <t>CONTROLE DE GLICEMIA</t>
  </si>
  <si>
    <t>Data: ____ / ____ / ______</t>
  </si>
  <si>
    <t>REFEIÇÃO</t>
  </si>
  <si>
    <t>GLICEMIA ANTES</t>
  </si>
  <si>
    <t>QUANTAS UNIDADES
DE INSULINA</t>
  </si>
  <si>
    <t>O QUE COMEU E BEBEU</t>
  </si>
  <si>
    <t>GLICEMIA
2 HORAS DEPOIS</t>
  </si>
  <si>
    <t>Registro para acompanhamento e apresentação à equipe de saúde.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</si>
</sst>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\ \(ddd\)"/>
    <numFmt numFmtId="166" formatCode="0.0"/>
    <numFmt numFmtId="167" formatCode="\+0;\-0;0"/>
  </numFmts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404040"/>
      <name val="Arial"/>
    </font>
    <font>
      <b/>
      <sz val="10"/>
      <color rgb="FFFFFFFF"/>
      <name val="Arial"/>
    </font>
    <font>
      <b/>
      <sz val="11"/>
      <color rgb="FF333333"/>
      <name val="Arial"/>
    </font>
    <font>
      <i/>
      <sz val="9"/>
      <color rgb="FF666666"/>
      <name val="Arial"/>
    </font>
    <font>
      <b/>
      <sz val="14"/>
      <color rgb="FFFFFFFF"/>
      <name val="Arial"/>
    </font>
    <font>
      <b/>
      <sz val="11"/>
      <color rgb="FF1F4E78"/>
      <name val="Arial"/>
    </font>
    <font>
      <b/>
      <sz val="10"/>
      <name val="Arial"/>
    </font>
    <font>
      <b/>
      <sz val="11"/>
      <color rgb="FF0000FF"/>
      <name val="Arial"/>
    </font>
    <font>
      <sz val="10"/>
      <name val="Arial"/>
    </font>
    <font>
      <sz val="10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AFAFA"/>
      </patternFill>
    </fill>
    <fill>
      <patternFill patternType="solid">
        <fgColor rgb="FFFFF8E1"/>
      </patternFill>
    </fill>
    <fill>
      <patternFill patternType="solid">
        <fgColor rgb="FFEDEFF2"/>
      </patternFill>
    </fill>
    <fill>
      <patternFill patternType="solid">
        <fgColor rgb="FFF3F7FB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medium">
        <color rgb="FF1F4E78"/>
      </top>
      <bottom style="medium">
        <color rgb="FF1F4E78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3" fillId="2" borderId="3" xfId="0" applyFont="1" applyFill="1" applyBorder="1" applyAlignment="1">
      <alignment horizontal="center" vertical="center" wrapText="1"/>
    </xf>
    <xf numFmtId="165" fontId="8" fillId="5" borderId="3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165" fontId="8" fillId="0" borderId="3" xfId="0" applyNumberFormat="1" applyFont="1" applyBorder="1" applyAlignment="1">
      <alignment horizontal="center" vertical="center"/>
    </xf>
    <xf numFmtId="1" fontId="8" fillId="5" borderId="3" xfId="0" applyNumberFormat="1" applyFont="1" applyFill="1" applyBorder="1" applyAlignment="1">
      <alignment horizontal="center" vertical="center"/>
    </xf>
    <xf numFmtId="165" fontId="8" fillId="6" borderId="3" xfId="0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14" fontId="9" fillId="4" borderId="3" xfId="0" applyNumberFormat="1" applyFont="1" applyFill="1" applyBorder="1"/>
    <xf numFmtId="0" fontId="8" fillId="0" borderId="0" xfId="0" applyFont="1" applyAlignment="1">
      <alignment horizontal="left"/>
    </xf>
    <xf numFmtId="1" fontId="8" fillId="0" borderId="3" xfId="0" applyNumberFormat="1" applyFont="1" applyBorder="1" applyAlignment="1">
      <alignment horizontal="left" vertical="center"/>
    </xf>
    <xf numFmtId="1" fontId="10" fillId="0" borderId="3" xfId="0" applyNumberFormat="1" applyFont="1" applyBorder="1" applyAlignment="1">
      <alignment horizontal="center" vertical="center"/>
    </xf>
    <xf numFmtId="166" fontId="10" fillId="0" borderId="3" xfId="0" applyNumberFormat="1" applyFont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/>
    </xf>
    <xf numFmtId="1" fontId="8" fillId="5" borderId="3" xfId="0" applyNumberFormat="1" applyFont="1" applyFill="1" applyBorder="1" applyAlignment="1">
      <alignment horizontal="left" vertical="center"/>
    </xf>
    <xf numFmtId="166" fontId="8" fillId="5" borderId="3" xfId="0" applyNumberFormat="1" applyFont="1" applyFill="1" applyBorder="1" applyAlignment="1">
      <alignment horizontal="center" vertical="center"/>
    </xf>
    <xf numFmtId="167" fontId="8" fillId="5" borderId="3" xfId="0" applyNumberFormat="1" applyFont="1" applyFill="1" applyBorder="1" applyAlignment="1">
      <alignment horizontal="center" vertical="center"/>
    </xf>
    <xf numFmtId="0" fontId="7" fillId="0" borderId="0" xfId="0" applyFont="1"/>
    <xf numFmtId="14" fontId="9" fillId="4" borderId="3" xfId="0" applyNumberFormat="1" applyFont="1" applyFill="1" applyBorder="1" applyAlignment="1">
      <alignment horizontal="left"/>
    </xf>
    <xf numFmtId="0" fontId="7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8" fillId="4" borderId="0" xfId="0" applyFont="1" applyFill="1" applyAlignment="1">
      <alignment vertical="top"/>
    </xf>
    <xf numFmtId="0" fontId="8" fillId="5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3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vertical="top" wrapTex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FFEFC2"/>
        </patternFill>
      </fill>
    </dxf>
    <dxf>
      <fill>
        <patternFill patternType="solid">
          <fgColor rgb="FFFFF8E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Média diária de glicemia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'Histórico por dia'!$T$2</c:f>
              <c:strCache>
                <c:ptCount val="1"/>
                <c:pt idx="0">
                  <c:v>Média antes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'Histórico por dia'!$A$4:$A$93</c:f>
              <c:numCache>
                <c:formatCode>dd/mm\ \(ddd\)</c:formatCode>
                <c:ptCount val="90"/>
                <c:pt idx="0">
                  <c:v>46290</c:v>
                </c:pt>
                <c:pt idx="1">
                  <c:v>46291</c:v>
                </c:pt>
                <c:pt idx="2">
                  <c:v>46292</c:v>
                </c:pt>
                <c:pt idx="3">
                  <c:v>46293</c:v>
                </c:pt>
                <c:pt idx="4">
                  <c:v>46294</c:v>
                </c:pt>
                <c:pt idx="5">
                  <c:v>46295</c:v>
                </c:pt>
                <c:pt idx="6">
                  <c:v>46296</c:v>
                </c:pt>
                <c:pt idx="7">
                  <c:v>46297</c:v>
                </c:pt>
                <c:pt idx="8">
                  <c:v>46298</c:v>
                </c:pt>
                <c:pt idx="9">
                  <c:v>46299</c:v>
                </c:pt>
                <c:pt idx="10">
                  <c:v>46300</c:v>
                </c:pt>
                <c:pt idx="11">
                  <c:v>46301</c:v>
                </c:pt>
                <c:pt idx="12">
                  <c:v>46302</c:v>
                </c:pt>
                <c:pt idx="13">
                  <c:v>46303</c:v>
                </c:pt>
                <c:pt idx="14">
                  <c:v>46304</c:v>
                </c:pt>
                <c:pt idx="15">
                  <c:v>46305</c:v>
                </c:pt>
                <c:pt idx="16">
                  <c:v>46306</c:v>
                </c:pt>
                <c:pt idx="17">
                  <c:v>46307</c:v>
                </c:pt>
                <c:pt idx="18">
                  <c:v>46308</c:v>
                </c:pt>
                <c:pt idx="19">
                  <c:v>46309</c:v>
                </c:pt>
                <c:pt idx="20">
                  <c:v>46310</c:v>
                </c:pt>
                <c:pt idx="21">
                  <c:v>46311</c:v>
                </c:pt>
                <c:pt idx="22">
                  <c:v>46312</c:v>
                </c:pt>
                <c:pt idx="23">
                  <c:v>46313</c:v>
                </c:pt>
                <c:pt idx="24">
                  <c:v>46314</c:v>
                </c:pt>
                <c:pt idx="25">
                  <c:v>46315</c:v>
                </c:pt>
                <c:pt idx="26">
                  <c:v>46316</c:v>
                </c:pt>
                <c:pt idx="27">
                  <c:v>46317</c:v>
                </c:pt>
                <c:pt idx="28">
                  <c:v>46318</c:v>
                </c:pt>
                <c:pt idx="29">
                  <c:v>46319</c:v>
                </c:pt>
                <c:pt idx="30">
                  <c:v>46320</c:v>
                </c:pt>
                <c:pt idx="31">
                  <c:v>46321</c:v>
                </c:pt>
                <c:pt idx="32">
                  <c:v>46322</c:v>
                </c:pt>
                <c:pt idx="33">
                  <c:v>46323</c:v>
                </c:pt>
                <c:pt idx="34">
                  <c:v>46324</c:v>
                </c:pt>
                <c:pt idx="35">
                  <c:v>46325</c:v>
                </c:pt>
                <c:pt idx="36">
                  <c:v>46326</c:v>
                </c:pt>
                <c:pt idx="37">
                  <c:v>46327</c:v>
                </c:pt>
                <c:pt idx="38">
                  <c:v>46328</c:v>
                </c:pt>
                <c:pt idx="39">
                  <c:v>46329</c:v>
                </c:pt>
                <c:pt idx="40">
                  <c:v>46330</c:v>
                </c:pt>
                <c:pt idx="41">
                  <c:v>46331</c:v>
                </c:pt>
                <c:pt idx="42">
                  <c:v>46332</c:v>
                </c:pt>
                <c:pt idx="43">
                  <c:v>46333</c:v>
                </c:pt>
                <c:pt idx="44">
                  <c:v>46334</c:v>
                </c:pt>
                <c:pt idx="45">
                  <c:v>46335</c:v>
                </c:pt>
                <c:pt idx="46">
                  <c:v>46336</c:v>
                </c:pt>
                <c:pt idx="47">
                  <c:v>46337</c:v>
                </c:pt>
                <c:pt idx="48">
                  <c:v>46338</c:v>
                </c:pt>
                <c:pt idx="49">
                  <c:v>46339</c:v>
                </c:pt>
                <c:pt idx="50">
                  <c:v>46340</c:v>
                </c:pt>
                <c:pt idx="51">
                  <c:v>46341</c:v>
                </c:pt>
                <c:pt idx="52">
                  <c:v>46342</c:v>
                </c:pt>
                <c:pt idx="53">
                  <c:v>46343</c:v>
                </c:pt>
                <c:pt idx="54">
                  <c:v>46344</c:v>
                </c:pt>
                <c:pt idx="55">
                  <c:v>46345</c:v>
                </c:pt>
                <c:pt idx="56">
                  <c:v>46346</c:v>
                </c:pt>
                <c:pt idx="57">
                  <c:v>46347</c:v>
                </c:pt>
                <c:pt idx="58">
                  <c:v>46348</c:v>
                </c:pt>
                <c:pt idx="59">
                  <c:v>46349</c:v>
                </c:pt>
                <c:pt idx="60">
                  <c:v>46350</c:v>
                </c:pt>
                <c:pt idx="61">
                  <c:v>46351</c:v>
                </c:pt>
                <c:pt idx="62">
                  <c:v>46352</c:v>
                </c:pt>
                <c:pt idx="63">
                  <c:v>46353</c:v>
                </c:pt>
                <c:pt idx="64">
                  <c:v>46354</c:v>
                </c:pt>
                <c:pt idx="65">
                  <c:v>46355</c:v>
                </c:pt>
                <c:pt idx="66">
                  <c:v>46356</c:v>
                </c:pt>
                <c:pt idx="67">
                  <c:v>46357</c:v>
                </c:pt>
                <c:pt idx="68">
                  <c:v>46358</c:v>
                </c:pt>
                <c:pt idx="69">
                  <c:v>46359</c:v>
                </c:pt>
                <c:pt idx="70">
                  <c:v>46360</c:v>
                </c:pt>
                <c:pt idx="71">
                  <c:v>46361</c:v>
                </c:pt>
                <c:pt idx="72">
                  <c:v>46362</c:v>
                </c:pt>
                <c:pt idx="73">
                  <c:v>46363</c:v>
                </c:pt>
                <c:pt idx="74">
                  <c:v>46364</c:v>
                </c:pt>
                <c:pt idx="75">
                  <c:v>46365</c:v>
                </c:pt>
                <c:pt idx="76">
                  <c:v>46366</c:v>
                </c:pt>
                <c:pt idx="77">
                  <c:v>46367</c:v>
                </c:pt>
                <c:pt idx="78">
                  <c:v>46368</c:v>
                </c:pt>
                <c:pt idx="79">
                  <c:v>46369</c:v>
                </c:pt>
                <c:pt idx="80">
                  <c:v>46370</c:v>
                </c:pt>
                <c:pt idx="81">
                  <c:v>46371</c:v>
                </c:pt>
                <c:pt idx="82">
                  <c:v>46372</c:v>
                </c:pt>
                <c:pt idx="83">
                  <c:v>46373</c:v>
                </c:pt>
                <c:pt idx="84">
                  <c:v>46374</c:v>
                </c:pt>
                <c:pt idx="85">
                  <c:v>46375</c:v>
                </c:pt>
                <c:pt idx="86">
                  <c:v>46376</c:v>
                </c:pt>
                <c:pt idx="87">
                  <c:v>46377</c:v>
                </c:pt>
                <c:pt idx="88">
                  <c:v>46378</c:v>
                </c:pt>
                <c:pt idx="89">
                  <c:v>46379</c:v>
                </c:pt>
              </c:numCache>
            </c:numRef>
          </c:cat>
          <c:val>
            <c:numRef>
              <c:f>'Histórico por dia'!$T$3:$T$93</c:f>
              <c:numCache>
                <c:formatCode>0</c:formatCode>
                <c:ptCount val="9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BE-409D-AFFF-52BA16100DC1}"/>
            </c:ext>
          </c:extLst>
        </c:ser>
        <c:ser>
          <c:idx val="1"/>
          <c:order val="1"/>
          <c:tx>
            <c:strRef>
              <c:f>'Histórico por dia'!$U$2</c:f>
              <c:strCache>
                <c:ptCount val="1"/>
                <c:pt idx="0">
                  <c:v>Média 2h depois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'Histórico por dia'!$A$4:$A$93</c:f>
              <c:numCache>
                <c:formatCode>dd/mm\ \(ddd\)</c:formatCode>
                <c:ptCount val="90"/>
                <c:pt idx="0">
                  <c:v>46290</c:v>
                </c:pt>
                <c:pt idx="1">
                  <c:v>46291</c:v>
                </c:pt>
                <c:pt idx="2">
                  <c:v>46292</c:v>
                </c:pt>
                <c:pt idx="3">
                  <c:v>46293</c:v>
                </c:pt>
                <c:pt idx="4">
                  <c:v>46294</c:v>
                </c:pt>
                <c:pt idx="5">
                  <c:v>46295</c:v>
                </c:pt>
                <c:pt idx="6">
                  <c:v>46296</c:v>
                </c:pt>
                <c:pt idx="7">
                  <c:v>46297</c:v>
                </c:pt>
                <c:pt idx="8">
                  <c:v>46298</c:v>
                </c:pt>
                <c:pt idx="9">
                  <c:v>46299</c:v>
                </c:pt>
                <c:pt idx="10">
                  <c:v>46300</c:v>
                </c:pt>
                <c:pt idx="11">
                  <c:v>46301</c:v>
                </c:pt>
                <c:pt idx="12">
                  <c:v>46302</c:v>
                </c:pt>
                <c:pt idx="13">
                  <c:v>46303</c:v>
                </c:pt>
                <c:pt idx="14">
                  <c:v>46304</c:v>
                </c:pt>
                <c:pt idx="15">
                  <c:v>46305</c:v>
                </c:pt>
                <c:pt idx="16">
                  <c:v>46306</c:v>
                </c:pt>
                <c:pt idx="17">
                  <c:v>46307</c:v>
                </c:pt>
                <c:pt idx="18">
                  <c:v>46308</c:v>
                </c:pt>
                <c:pt idx="19">
                  <c:v>46309</c:v>
                </c:pt>
                <c:pt idx="20">
                  <c:v>46310</c:v>
                </c:pt>
                <c:pt idx="21">
                  <c:v>46311</c:v>
                </c:pt>
                <c:pt idx="22">
                  <c:v>46312</c:v>
                </c:pt>
                <c:pt idx="23">
                  <c:v>46313</c:v>
                </c:pt>
                <c:pt idx="24">
                  <c:v>46314</c:v>
                </c:pt>
                <c:pt idx="25">
                  <c:v>46315</c:v>
                </c:pt>
                <c:pt idx="26">
                  <c:v>46316</c:v>
                </c:pt>
                <c:pt idx="27">
                  <c:v>46317</c:v>
                </c:pt>
                <c:pt idx="28">
                  <c:v>46318</c:v>
                </c:pt>
                <c:pt idx="29">
                  <c:v>46319</c:v>
                </c:pt>
                <c:pt idx="30">
                  <c:v>46320</c:v>
                </c:pt>
                <c:pt idx="31">
                  <c:v>46321</c:v>
                </c:pt>
                <c:pt idx="32">
                  <c:v>46322</c:v>
                </c:pt>
                <c:pt idx="33">
                  <c:v>46323</c:v>
                </c:pt>
                <c:pt idx="34">
                  <c:v>46324</c:v>
                </c:pt>
                <c:pt idx="35">
                  <c:v>46325</c:v>
                </c:pt>
                <c:pt idx="36">
                  <c:v>46326</c:v>
                </c:pt>
                <c:pt idx="37">
                  <c:v>46327</c:v>
                </c:pt>
                <c:pt idx="38">
                  <c:v>46328</c:v>
                </c:pt>
                <c:pt idx="39">
                  <c:v>46329</c:v>
                </c:pt>
                <c:pt idx="40">
                  <c:v>46330</c:v>
                </c:pt>
                <c:pt idx="41">
                  <c:v>46331</c:v>
                </c:pt>
                <c:pt idx="42">
                  <c:v>46332</c:v>
                </c:pt>
                <c:pt idx="43">
                  <c:v>46333</c:v>
                </c:pt>
                <c:pt idx="44">
                  <c:v>46334</c:v>
                </c:pt>
                <c:pt idx="45">
                  <c:v>46335</c:v>
                </c:pt>
                <c:pt idx="46">
                  <c:v>46336</c:v>
                </c:pt>
                <c:pt idx="47">
                  <c:v>46337</c:v>
                </c:pt>
                <c:pt idx="48">
                  <c:v>46338</c:v>
                </c:pt>
                <c:pt idx="49">
                  <c:v>46339</c:v>
                </c:pt>
                <c:pt idx="50">
                  <c:v>46340</c:v>
                </c:pt>
                <c:pt idx="51">
                  <c:v>46341</c:v>
                </c:pt>
                <c:pt idx="52">
                  <c:v>46342</c:v>
                </c:pt>
                <c:pt idx="53">
                  <c:v>46343</c:v>
                </c:pt>
                <c:pt idx="54">
                  <c:v>46344</c:v>
                </c:pt>
                <c:pt idx="55">
                  <c:v>46345</c:v>
                </c:pt>
                <c:pt idx="56">
                  <c:v>46346</c:v>
                </c:pt>
                <c:pt idx="57">
                  <c:v>46347</c:v>
                </c:pt>
                <c:pt idx="58">
                  <c:v>46348</c:v>
                </c:pt>
                <c:pt idx="59">
                  <c:v>46349</c:v>
                </c:pt>
                <c:pt idx="60">
                  <c:v>46350</c:v>
                </c:pt>
                <c:pt idx="61">
                  <c:v>46351</c:v>
                </c:pt>
                <c:pt idx="62">
                  <c:v>46352</c:v>
                </c:pt>
                <c:pt idx="63">
                  <c:v>46353</c:v>
                </c:pt>
                <c:pt idx="64">
                  <c:v>46354</c:v>
                </c:pt>
                <c:pt idx="65">
                  <c:v>46355</c:v>
                </c:pt>
                <c:pt idx="66">
                  <c:v>46356</c:v>
                </c:pt>
                <c:pt idx="67">
                  <c:v>46357</c:v>
                </c:pt>
                <c:pt idx="68">
                  <c:v>46358</c:v>
                </c:pt>
                <c:pt idx="69">
                  <c:v>46359</c:v>
                </c:pt>
                <c:pt idx="70">
                  <c:v>46360</c:v>
                </c:pt>
                <c:pt idx="71">
                  <c:v>46361</c:v>
                </c:pt>
                <c:pt idx="72">
                  <c:v>46362</c:v>
                </c:pt>
                <c:pt idx="73">
                  <c:v>46363</c:v>
                </c:pt>
                <c:pt idx="74">
                  <c:v>46364</c:v>
                </c:pt>
                <c:pt idx="75">
                  <c:v>46365</c:v>
                </c:pt>
                <c:pt idx="76">
                  <c:v>46366</c:v>
                </c:pt>
                <c:pt idx="77">
                  <c:v>46367</c:v>
                </c:pt>
                <c:pt idx="78">
                  <c:v>46368</c:v>
                </c:pt>
                <c:pt idx="79">
                  <c:v>46369</c:v>
                </c:pt>
                <c:pt idx="80">
                  <c:v>46370</c:v>
                </c:pt>
                <c:pt idx="81">
                  <c:v>46371</c:v>
                </c:pt>
                <c:pt idx="82">
                  <c:v>46372</c:v>
                </c:pt>
                <c:pt idx="83">
                  <c:v>46373</c:v>
                </c:pt>
                <c:pt idx="84">
                  <c:v>46374</c:v>
                </c:pt>
                <c:pt idx="85">
                  <c:v>46375</c:v>
                </c:pt>
                <c:pt idx="86">
                  <c:v>46376</c:v>
                </c:pt>
                <c:pt idx="87">
                  <c:v>46377</c:v>
                </c:pt>
                <c:pt idx="88">
                  <c:v>46378</c:v>
                </c:pt>
                <c:pt idx="89">
                  <c:v>46379</c:v>
                </c:pt>
              </c:numCache>
            </c:numRef>
          </c:cat>
          <c:val>
            <c:numRef>
              <c:f>'Histórico por dia'!$U$3:$U$93</c:f>
              <c:numCache>
                <c:formatCode>0</c:formatCode>
                <c:ptCount val="9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2BE-409D-AFFF-52BA16100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mg/dL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Média de glicemia por refeição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Resumo!$C$7</c:f>
              <c:strCache>
                <c:ptCount val="1"/>
                <c:pt idx="0">
                  <c:v>Média
antes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Resumo!$A$8:$A$13</c:f>
              <c:strCache>
                <c:ptCount val="6"/>
                <c:pt idx="0">
                  <c:v>Café da manhã</c:v>
                </c:pt>
                <c:pt idx="1">
                  <c:v>Lanche</c:v>
                </c:pt>
                <c:pt idx="2">
                  <c:v>Almoço</c:v>
                </c:pt>
                <c:pt idx="3">
                  <c:v>Café da tarde</c:v>
                </c:pt>
                <c:pt idx="4">
                  <c:v>Janta</c:v>
                </c:pt>
                <c:pt idx="5">
                  <c:v>Ceia</c:v>
                </c:pt>
              </c:strCache>
            </c:strRef>
          </c:cat>
          <c:val>
            <c:numRef>
              <c:f>Resumo!$C$8:$C$13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E-4627-98A3-2854B097550D}"/>
            </c:ext>
          </c:extLst>
        </c:ser>
        <c:ser>
          <c:idx val="1"/>
          <c:order val="1"/>
          <c:tx>
            <c:strRef>
              <c:f>Resumo!$H$7</c:f>
              <c:strCache>
                <c:ptCount val="1"/>
                <c:pt idx="0">
                  <c:v>Média
2h depois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Resumo!$A$8:$A$13</c:f>
              <c:strCache>
                <c:ptCount val="6"/>
                <c:pt idx="0">
                  <c:v>Café da manhã</c:v>
                </c:pt>
                <c:pt idx="1">
                  <c:v>Lanche</c:v>
                </c:pt>
                <c:pt idx="2">
                  <c:v>Almoço</c:v>
                </c:pt>
                <c:pt idx="3">
                  <c:v>Café da tarde</c:v>
                </c:pt>
                <c:pt idx="4">
                  <c:v>Janta</c:v>
                </c:pt>
                <c:pt idx="5">
                  <c:v>Ceia</c:v>
                </c:pt>
              </c:strCache>
            </c:strRef>
          </c:cat>
          <c:val>
            <c:numRef>
              <c:f>Resumo!$H$8:$H$13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5E-4627-98A3-2854B0975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mg/dL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0</xdr:colOff>
      <xdr:row>1</xdr:row>
      <xdr:rowOff>0</xdr:rowOff>
    </xdr:from>
    <xdr:ext cx="79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79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2B705"/>
    <pageSetUpPr fitToPage="1"/>
  </sheetPr>
  <dimension ref="A1:G541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" customWidth="1"/>
    <col min="2" max="2" width="14" customWidth="1"/>
    <col min="3" max="3" width="11" customWidth="1"/>
    <col min="4" max="4" width="10" customWidth="1"/>
    <col min="5" max="5" width="34" customWidth="1"/>
    <col min="6" max="6" width="12" customWidth="1"/>
    <col min="7" max="7" width="28" customWidth="1"/>
  </cols>
  <sheetData>
    <row r="1" spans="1:7" ht="36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x14ac:dyDescent="0.25">
      <c r="A2" s="9">
        <f>'Como usar'!$B$4+INT((ROW()-2)/6)</f>
        <v>46290</v>
      </c>
      <c r="B2" s="10" t="s">
        <v>7</v>
      </c>
      <c r="C2" s="11"/>
      <c r="D2" s="11"/>
      <c r="E2" s="12"/>
      <c r="F2" s="11"/>
      <c r="G2" s="12"/>
    </row>
    <row r="3" spans="1:7" x14ac:dyDescent="0.25">
      <c r="A3" s="9">
        <f>'Como usar'!$B$4+INT((ROW()-2)/6)</f>
        <v>46290</v>
      </c>
      <c r="B3" s="10" t="s">
        <v>8</v>
      </c>
      <c r="C3" s="11"/>
      <c r="D3" s="11"/>
      <c r="E3" s="12"/>
      <c r="F3" s="11"/>
      <c r="G3" s="12"/>
    </row>
    <row r="4" spans="1:7" x14ac:dyDescent="0.25">
      <c r="A4" s="9">
        <f>'Como usar'!$B$4+INT((ROW()-2)/6)</f>
        <v>46290</v>
      </c>
      <c r="B4" s="10" t="s">
        <v>9</v>
      </c>
      <c r="C4" s="11"/>
      <c r="D4" s="11"/>
      <c r="E4" s="12"/>
      <c r="F4" s="11"/>
      <c r="G4" s="12"/>
    </row>
    <row r="5" spans="1:7" x14ac:dyDescent="0.25">
      <c r="A5" s="9">
        <f>'Como usar'!$B$4+INT((ROW()-2)/6)</f>
        <v>46290</v>
      </c>
      <c r="B5" s="10" t="s">
        <v>10</v>
      </c>
      <c r="C5" s="11"/>
      <c r="D5" s="11"/>
      <c r="E5" s="12"/>
      <c r="F5" s="11"/>
      <c r="G5" s="12"/>
    </row>
    <row r="6" spans="1:7" x14ac:dyDescent="0.25">
      <c r="A6" s="9">
        <f>'Como usar'!$B$4+INT((ROW()-2)/6)</f>
        <v>46290</v>
      </c>
      <c r="B6" s="10" t="s">
        <v>11</v>
      </c>
      <c r="C6" s="11"/>
      <c r="D6" s="11"/>
      <c r="E6" s="12"/>
      <c r="F6" s="11"/>
      <c r="G6" s="12"/>
    </row>
    <row r="7" spans="1:7" x14ac:dyDescent="0.25">
      <c r="A7" s="9">
        <f>'Como usar'!$B$4+INT((ROW()-2)/6)</f>
        <v>46290</v>
      </c>
      <c r="B7" s="10" t="s">
        <v>12</v>
      </c>
      <c r="C7" s="11"/>
      <c r="D7" s="11"/>
      <c r="E7" s="12"/>
      <c r="F7" s="11"/>
      <c r="G7" s="12"/>
    </row>
    <row r="8" spans="1:7" x14ac:dyDescent="0.25">
      <c r="A8" s="9">
        <f>'Como usar'!$B$4+INT((ROW()-2)/6)</f>
        <v>46291</v>
      </c>
      <c r="B8" s="10" t="s">
        <v>7</v>
      </c>
      <c r="C8" s="11"/>
      <c r="D8" s="11"/>
      <c r="E8" s="12"/>
      <c r="F8" s="11"/>
      <c r="G8" s="12"/>
    </row>
    <row r="9" spans="1:7" x14ac:dyDescent="0.25">
      <c r="A9" s="9">
        <f>'Como usar'!$B$4+INT((ROW()-2)/6)</f>
        <v>46291</v>
      </c>
      <c r="B9" s="10" t="s">
        <v>8</v>
      </c>
      <c r="C9" s="11"/>
      <c r="D9" s="11"/>
      <c r="E9" s="12"/>
      <c r="F9" s="11"/>
      <c r="G9" s="12"/>
    </row>
    <row r="10" spans="1:7" x14ac:dyDescent="0.25">
      <c r="A10" s="9">
        <f>'Como usar'!$B$4+INT((ROW()-2)/6)</f>
        <v>46291</v>
      </c>
      <c r="B10" s="10" t="s">
        <v>9</v>
      </c>
      <c r="C10" s="11"/>
      <c r="D10" s="11"/>
      <c r="E10" s="12"/>
      <c r="F10" s="11"/>
      <c r="G10" s="12"/>
    </row>
    <row r="11" spans="1:7" x14ac:dyDescent="0.25">
      <c r="A11" s="9">
        <f>'Como usar'!$B$4+INT((ROW()-2)/6)</f>
        <v>46291</v>
      </c>
      <c r="B11" s="10" t="s">
        <v>10</v>
      </c>
      <c r="C11" s="11"/>
      <c r="D11" s="11"/>
      <c r="E11" s="12"/>
      <c r="F11" s="11"/>
      <c r="G11" s="12"/>
    </row>
    <row r="12" spans="1:7" x14ac:dyDescent="0.25">
      <c r="A12" s="9">
        <f>'Como usar'!$B$4+INT((ROW()-2)/6)</f>
        <v>46291</v>
      </c>
      <c r="B12" s="10" t="s">
        <v>11</v>
      </c>
      <c r="C12" s="11"/>
      <c r="D12" s="11"/>
      <c r="E12" s="12"/>
      <c r="F12" s="11"/>
      <c r="G12" s="12"/>
    </row>
    <row r="13" spans="1:7" x14ac:dyDescent="0.25">
      <c r="A13" s="9">
        <f>'Como usar'!$B$4+INT((ROW()-2)/6)</f>
        <v>46291</v>
      </c>
      <c r="B13" s="10" t="s">
        <v>12</v>
      </c>
      <c r="C13" s="11"/>
      <c r="D13" s="11"/>
      <c r="E13" s="12"/>
      <c r="F13" s="11"/>
      <c r="G13" s="12"/>
    </row>
    <row r="14" spans="1:7" x14ac:dyDescent="0.25">
      <c r="A14" s="9">
        <f>'Como usar'!$B$4+INT((ROW()-2)/6)</f>
        <v>46292</v>
      </c>
      <c r="B14" s="10" t="s">
        <v>7</v>
      </c>
      <c r="C14" s="11"/>
      <c r="D14" s="11"/>
      <c r="E14" s="12"/>
      <c r="F14" s="11"/>
      <c r="G14" s="12"/>
    </row>
    <row r="15" spans="1:7" x14ac:dyDescent="0.25">
      <c r="A15" s="9">
        <f>'Como usar'!$B$4+INT((ROW()-2)/6)</f>
        <v>46292</v>
      </c>
      <c r="B15" s="10" t="s">
        <v>8</v>
      </c>
      <c r="C15" s="11"/>
      <c r="D15" s="11"/>
      <c r="E15" s="12"/>
      <c r="F15" s="11"/>
      <c r="G15" s="12"/>
    </row>
    <row r="16" spans="1:7" x14ac:dyDescent="0.25">
      <c r="A16" s="9">
        <f>'Como usar'!$B$4+INT((ROW()-2)/6)</f>
        <v>46292</v>
      </c>
      <c r="B16" s="10" t="s">
        <v>9</v>
      </c>
      <c r="C16" s="11"/>
      <c r="D16" s="11"/>
      <c r="E16" s="12"/>
      <c r="F16" s="11"/>
      <c r="G16" s="12"/>
    </row>
    <row r="17" spans="1:7" x14ac:dyDescent="0.25">
      <c r="A17" s="9">
        <f>'Como usar'!$B$4+INT((ROW()-2)/6)</f>
        <v>46292</v>
      </c>
      <c r="B17" s="10" t="s">
        <v>10</v>
      </c>
      <c r="C17" s="11"/>
      <c r="D17" s="11"/>
      <c r="E17" s="12"/>
      <c r="F17" s="11"/>
      <c r="G17" s="12"/>
    </row>
    <row r="18" spans="1:7" x14ac:dyDescent="0.25">
      <c r="A18" s="9">
        <f>'Como usar'!$B$4+INT((ROW()-2)/6)</f>
        <v>46292</v>
      </c>
      <c r="B18" s="10" t="s">
        <v>11</v>
      </c>
      <c r="C18" s="11"/>
      <c r="D18" s="11"/>
      <c r="E18" s="12"/>
      <c r="F18" s="11"/>
      <c r="G18" s="12"/>
    </row>
    <row r="19" spans="1:7" x14ac:dyDescent="0.25">
      <c r="A19" s="9">
        <f>'Como usar'!$B$4+INT((ROW()-2)/6)</f>
        <v>46292</v>
      </c>
      <c r="B19" s="10" t="s">
        <v>12</v>
      </c>
      <c r="C19" s="11"/>
      <c r="D19" s="11"/>
      <c r="E19" s="12"/>
      <c r="F19" s="11"/>
      <c r="G19" s="12"/>
    </row>
    <row r="20" spans="1:7" x14ac:dyDescent="0.25">
      <c r="A20" s="9">
        <f>'Como usar'!$B$4+INT((ROW()-2)/6)</f>
        <v>46293</v>
      </c>
      <c r="B20" s="10" t="s">
        <v>7</v>
      </c>
      <c r="C20" s="11"/>
      <c r="D20" s="11"/>
      <c r="E20" s="12"/>
      <c r="F20" s="11"/>
      <c r="G20" s="12"/>
    </row>
    <row r="21" spans="1:7" x14ac:dyDescent="0.25">
      <c r="A21" s="9">
        <f>'Como usar'!$B$4+INT((ROW()-2)/6)</f>
        <v>46293</v>
      </c>
      <c r="B21" s="10" t="s">
        <v>8</v>
      </c>
      <c r="C21" s="11"/>
      <c r="D21" s="11"/>
      <c r="E21" s="12"/>
      <c r="F21" s="11"/>
      <c r="G21" s="12"/>
    </row>
    <row r="22" spans="1:7" x14ac:dyDescent="0.25">
      <c r="A22" s="9">
        <f>'Como usar'!$B$4+INT((ROW()-2)/6)</f>
        <v>46293</v>
      </c>
      <c r="B22" s="10" t="s">
        <v>9</v>
      </c>
      <c r="C22" s="11"/>
      <c r="D22" s="11"/>
      <c r="E22" s="12"/>
      <c r="F22" s="11"/>
      <c r="G22" s="12"/>
    </row>
    <row r="23" spans="1:7" x14ac:dyDescent="0.25">
      <c r="A23" s="9">
        <f>'Como usar'!$B$4+INT((ROW()-2)/6)</f>
        <v>46293</v>
      </c>
      <c r="B23" s="10" t="s">
        <v>10</v>
      </c>
      <c r="C23" s="11"/>
      <c r="D23" s="11"/>
      <c r="E23" s="12"/>
      <c r="F23" s="11"/>
      <c r="G23" s="12"/>
    </row>
    <row r="24" spans="1:7" x14ac:dyDescent="0.25">
      <c r="A24" s="9">
        <f>'Como usar'!$B$4+INT((ROW()-2)/6)</f>
        <v>46293</v>
      </c>
      <c r="B24" s="10" t="s">
        <v>11</v>
      </c>
      <c r="C24" s="11"/>
      <c r="D24" s="11"/>
      <c r="E24" s="12"/>
      <c r="F24" s="11"/>
      <c r="G24" s="12"/>
    </row>
    <row r="25" spans="1:7" x14ac:dyDescent="0.25">
      <c r="A25" s="9">
        <f>'Como usar'!$B$4+INT((ROW()-2)/6)</f>
        <v>46293</v>
      </c>
      <c r="B25" s="10" t="s">
        <v>12</v>
      </c>
      <c r="C25" s="11"/>
      <c r="D25" s="11"/>
      <c r="E25" s="12"/>
      <c r="F25" s="11"/>
      <c r="G25" s="12"/>
    </row>
    <row r="26" spans="1:7" x14ac:dyDescent="0.25">
      <c r="A26" s="9">
        <f>'Como usar'!$B$4+INT((ROW()-2)/6)</f>
        <v>46294</v>
      </c>
      <c r="B26" s="10" t="s">
        <v>7</v>
      </c>
      <c r="C26" s="11"/>
      <c r="D26" s="11"/>
      <c r="E26" s="12"/>
      <c r="F26" s="11"/>
      <c r="G26" s="12"/>
    </row>
    <row r="27" spans="1:7" x14ac:dyDescent="0.25">
      <c r="A27" s="9">
        <f>'Como usar'!$B$4+INT((ROW()-2)/6)</f>
        <v>46294</v>
      </c>
      <c r="B27" s="10" t="s">
        <v>8</v>
      </c>
      <c r="C27" s="11"/>
      <c r="D27" s="11"/>
      <c r="E27" s="12"/>
      <c r="F27" s="11"/>
      <c r="G27" s="12"/>
    </row>
    <row r="28" spans="1:7" x14ac:dyDescent="0.25">
      <c r="A28" s="9">
        <f>'Como usar'!$B$4+INT((ROW()-2)/6)</f>
        <v>46294</v>
      </c>
      <c r="B28" s="10" t="s">
        <v>9</v>
      </c>
      <c r="C28" s="11"/>
      <c r="D28" s="11"/>
      <c r="E28" s="12"/>
      <c r="F28" s="11"/>
      <c r="G28" s="12"/>
    </row>
    <row r="29" spans="1:7" x14ac:dyDescent="0.25">
      <c r="A29" s="9">
        <f>'Como usar'!$B$4+INT((ROW()-2)/6)</f>
        <v>46294</v>
      </c>
      <c r="B29" s="10" t="s">
        <v>10</v>
      </c>
      <c r="C29" s="11"/>
      <c r="D29" s="11"/>
      <c r="E29" s="12"/>
      <c r="F29" s="11"/>
      <c r="G29" s="12"/>
    </row>
    <row r="30" spans="1:7" x14ac:dyDescent="0.25">
      <c r="A30" s="9">
        <f>'Como usar'!$B$4+INT((ROW()-2)/6)</f>
        <v>46294</v>
      </c>
      <c r="B30" s="10" t="s">
        <v>11</v>
      </c>
      <c r="C30" s="11"/>
      <c r="D30" s="11"/>
      <c r="E30" s="12"/>
      <c r="F30" s="11"/>
      <c r="G30" s="12"/>
    </row>
    <row r="31" spans="1:7" x14ac:dyDescent="0.25">
      <c r="A31" s="9">
        <f>'Como usar'!$B$4+INT((ROW()-2)/6)</f>
        <v>46294</v>
      </c>
      <c r="B31" s="10" t="s">
        <v>12</v>
      </c>
      <c r="C31" s="11"/>
      <c r="D31" s="11"/>
      <c r="E31" s="12"/>
      <c r="F31" s="11"/>
      <c r="G31" s="12"/>
    </row>
    <row r="32" spans="1:7" x14ac:dyDescent="0.25">
      <c r="A32" s="9">
        <f>'Como usar'!$B$4+INT((ROW()-2)/6)</f>
        <v>46295</v>
      </c>
      <c r="B32" s="10" t="s">
        <v>7</v>
      </c>
      <c r="C32" s="11"/>
      <c r="D32" s="11"/>
      <c r="E32" s="12"/>
      <c r="F32" s="11"/>
      <c r="G32" s="12"/>
    </row>
    <row r="33" spans="1:7" x14ac:dyDescent="0.25">
      <c r="A33" s="9">
        <f>'Como usar'!$B$4+INT((ROW()-2)/6)</f>
        <v>46295</v>
      </c>
      <c r="B33" s="10" t="s">
        <v>8</v>
      </c>
      <c r="C33" s="11"/>
      <c r="D33" s="11"/>
      <c r="E33" s="12"/>
      <c r="F33" s="11"/>
      <c r="G33" s="12"/>
    </row>
    <row r="34" spans="1:7" x14ac:dyDescent="0.25">
      <c r="A34" s="9">
        <f>'Como usar'!$B$4+INT((ROW()-2)/6)</f>
        <v>46295</v>
      </c>
      <c r="B34" s="10" t="s">
        <v>9</v>
      </c>
      <c r="C34" s="11"/>
      <c r="D34" s="11"/>
      <c r="E34" s="12"/>
      <c r="F34" s="11"/>
      <c r="G34" s="12"/>
    </row>
    <row r="35" spans="1:7" x14ac:dyDescent="0.25">
      <c r="A35" s="9">
        <f>'Como usar'!$B$4+INT((ROW()-2)/6)</f>
        <v>46295</v>
      </c>
      <c r="B35" s="10" t="s">
        <v>10</v>
      </c>
      <c r="C35" s="11"/>
      <c r="D35" s="11"/>
      <c r="E35" s="12"/>
      <c r="F35" s="11"/>
      <c r="G35" s="12"/>
    </row>
    <row r="36" spans="1:7" x14ac:dyDescent="0.25">
      <c r="A36" s="9">
        <f>'Como usar'!$B$4+INT((ROW()-2)/6)</f>
        <v>46295</v>
      </c>
      <c r="B36" s="10" t="s">
        <v>11</v>
      </c>
      <c r="C36" s="11"/>
      <c r="D36" s="11"/>
      <c r="E36" s="12"/>
      <c r="F36" s="11"/>
      <c r="G36" s="12"/>
    </row>
    <row r="37" spans="1:7" x14ac:dyDescent="0.25">
      <c r="A37" s="9">
        <f>'Como usar'!$B$4+INT((ROW()-2)/6)</f>
        <v>46295</v>
      </c>
      <c r="B37" s="10" t="s">
        <v>12</v>
      </c>
      <c r="C37" s="11"/>
      <c r="D37" s="11"/>
      <c r="E37" s="12"/>
      <c r="F37" s="11"/>
      <c r="G37" s="12"/>
    </row>
    <row r="38" spans="1:7" x14ac:dyDescent="0.25">
      <c r="A38" s="9">
        <f>'Como usar'!$B$4+INT((ROW()-2)/6)</f>
        <v>46296</v>
      </c>
      <c r="B38" s="10" t="s">
        <v>7</v>
      </c>
      <c r="C38" s="11"/>
      <c r="D38" s="11"/>
      <c r="E38" s="12"/>
      <c r="F38" s="11"/>
      <c r="G38" s="12"/>
    </row>
    <row r="39" spans="1:7" x14ac:dyDescent="0.25">
      <c r="A39" s="9">
        <f>'Como usar'!$B$4+INT((ROW()-2)/6)</f>
        <v>46296</v>
      </c>
      <c r="B39" s="10" t="s">
        <v>8</v>
      </c>
      <c r="C39" s="11"/>
      <c r="D39" s="11"/>
      <c r="E39" s="12"/>
      <c r="F39" s="11"/>
      <c r="G39" s="12"/>
    </row>
    <row r="40" spans="1:7" x14ac:dyDescent="0.25">
      <c r="A40" s="9">
        <f>'Como usar'!$B$4+INT((ROW()-2)/6)</f>
        <v>46296</v>
      </c>
      <c r="B40" s="10" t="s">
        <v>9</v>
      </c>
      <c r="C40" s="11"/>
      <c r="D40" s="11"/>
      <c r="E40" s="12"/>
      <c r="F40" s="11"/>
      <c r="G40" s="12"/>
    </row>
    <row r="41" spans="1:7" x14ac:dyDescent="0.25">
      <c r="A41" s="9">
        <f>'Como usar'!$B$4+INT((ROW()-2)/6)</f>
        <v>46296</v>
      </c>
      <c r="B41" s="10" t="s">
        <v>10</v>
      </c>
      <c r="C41" s="11"/>
      <c r="D41" s="11"/>
      <c r="E41" s="12"/>
      <c r="F41" s="11"/>
      <c r="G41" s="12"/>
    </row>
    <row r="42" spans="1:7" x14ac:dyDescent="0.25">
      <c r="A42" s="9">
        <f>'Como usar'!$B$4+INT((ROW()-2)/6)</f>
        <v>46296</v>
      </c>
      <c r="B42" s="10" t="s">
        <v>11</v>
      </c>
      <c r="C42" s="11"/>
      <c r="D42" s="11"/>
      <c r="E42" s="12"/>
      <c r="F42" s="11"/>
      <c r="G42" s="12"/>
    </row>
    <row r="43" spans="1:7" x14ac:dyDescent="0.25">
      <c r="A43" s="9">
        <f>'Como usar'!$B$4+INT((ROW()-2)/6)</f>
        <v>46296</v>
      </c>
      <c r="B43" s="10" t="s">
        <v>12</v>
      </c>
      <c r="C43" s="11"/>
      <c r="D43" s="11"/>
      <c r="E43" s="12"/>
      <c r="F43" s="11"/>
      <c r="G43" s="12"/>
    </row>
    <row r="44" spans="1:7" x14ac:dyDescent="0.25">
      <c r="A44" s="9">
        <f>'Como usar'!$B$4+INT((ROW()-2)/6)</f>
        <v>46297</v>
      </c>
      <c r="B44" s="10" t="s">
        <v>7</v>
      </c>
      <c r="C44" s="11"/>
      <c r="D44" s="11"/>
      <c r="E44" s="12"/>
      <c r="F44" s="11"/>
      <c r="G44" s="12"/>
    </row>
    <row r="45" spans="1:7" x14ac:dyDescent="0.25">
      <c r="A45" s="9">
        <f>'Como usar'!$B$4+INT((ROW()-2)/6)</f>
        <v>46297</v>
      </c>
      <c r="B45" s="10" t="s">
        <v>8</v>
      </c>
      <c r="C45" s="11"/>
      <c r="D45" s="11"/>
      <c r="E45" s="12"/>
      <c r="F45" s="11"/>
      <c r="G45" s="12"/>
    </row>
    <row r="46" spans="1:7" x14ac:dyDescent="0.25">
      <c r="A46" s="9">
        <f>'Como usar'!$B$4+INT((ROW()-2)/6)</f>
        <v>46297</v>
      </c>
      <c r="B46" s="10" t="s">
        <v>9</v>
      </c>
      <c r="C46" s="11"/>
      <c r="D46" s="11"/>
      <c r="E46" s="12"/>
      <c r="F46" s="11"/>
      <c r="G46" s="12"/>
    </row>
    <row r="47" spans="1:7" x14ac:dyDescent="0.25">
      <c r="A47" s="9">
        <f>'Como usar'!$B$4+INT((ROW()-2)/6)</f>
        <v>46297</v>
      </c>
      <c r="B47" s="10" t="s">
        <v>10</v>
      </c>
      <c r="C47" s="11"/>
      <c r="D47" s="11"/>
      <c r="E47" s="12"/>
      <c r="F47" s="11"/>
      <c r="G47" s="12"/>
    </row>
    <row r="48" spans="1:7" x14ac:dyDescent="0.25">
      <c r="A48" s="9">
        <f>'Como usar'!$B$4+INT((ROW()-2)/6)</f>
        <v>46297</v>
      </c>
      <c r="B48" s="10" t="s">
        <v>11</v>
      </c>
      <c r="C48" s="11"/>
      <c r="D48" s="11"/>
      <c r="E48" s="12"/>
      <c r="F48" s="11"/>
      <c r="G48" s="12"/>
    </row>
    <row r="49" spans="1:7" x14ac:dyDescent="0.25">
      <c r="A49" s="9">
        <f>'Como usar'!$B$4+INT((ROW()-2)/6)</f>
        <v>46297</v>
      </c>
      <c r="B49" s="10" t="s">
        <v>12</v>
      </c>
      <c r="C49" s="11"/>
      <c r="D49" s="11"/>
      <c r="E49" s="12"/>
      <c r="F49" s="11"/>
      <c r="G49" s="12"/>
    </row>
    <row r="50" spans="1:7" x14ac:dyDescent="0.25">
      <c r="A50" s="9">
        <f>'Como usar'!$B$4+INT((ROW()-2)/6)</f>
        <v>46298</v>
      </c>
      <c r="B50" s="10" t="s">
        <v>7</v>
      </c>
      <c r="C50" s="11"/>
      <c r="D50" s="11"/>
      <c r="E50" s="12"/>
      <c r="F50" s="11"/>
      <c r="G50" s="12"/>
    </row>
    <row r="51" spans="1:7" x14ac:dyDescent="0.25">
      <c r="A51" s="9">
        <f>'Como usar'!$B$4+INT((ROW()-2)/6)</f>
        <v>46298</v>
      </c>
      <c r="B51" s="10" t="s">
        <v>8</v>
      </c>
      <c r="C51" s="11"/>
      <c r="D51" s="11"/>
      <c r="E51" s="12"/>
      <c r="F51" s="11"/>
      <c r="G51" s="12"/>
    </row>
    <row r="52" spans="1:7" x14ac:dyDescent="0.25">
      <c r="A52" s="9">
        <f>'Como usar'!$B$4+INT((ROW()-2)/6)</f>
        <v>46298</v>
      </c>
      <c r="B52" s="10" t="s">
        <v>9</v>
      </c>
      <c r="C52" s="11"/>
      <c r="D52" s="11"/>
      <c r="E52" s="12"/>
      <c r="F52" s="11"/>
      <c r="G52" s="12"/>
    </row>
    <row r="53" spans="1:7" x14ac:dyDescent="0.25">
      <c r="A53" s="9">
        <f>'Como usar'!$B$4+INT((ROW()-2)/6)</f>
        <v>46298</v>
      </c>
      <c r="B53" s="10" t="s">
        <v>10</v>
      </c>
      <c r="C53" s="11"/>
      <c r="D53" s="11"/>
      <c r="E53" s="12"/>
      <c r="F53" s="11"/>
      <c r="G53" s="12"/>
    </row>
    <row r="54" spans="1:7" x14ac:dyDescent="0.25">
      <c r="A54" s="9">
        <f>'Como usar'!$B$4+INT((ROW()-2)/6)</f>
        <v>46298</v>
      </c>
      <c r="B54" s="10" t="s">
        <v>11</v>
      </c>
      <c r="C54" s="11"/>
      <c r="D54" s="11"/>
      <c r="E54" s="12"/>
      <c r="F54" s="11"/>
      <c r="G54" s="12"/>
    </row>
    <row r="55" spans="1:7" x14ac:dyDescent="0.25">
      <c r="A55" s="9">
        <f>'Como usar'!$B$4+INT((ROW()-2)/6)</f>
        <v>46298</v>
      </c>
      <c r="B55" s="10" t="s">
        <v>12</v>
      </c>
      <c r="C55" s="11"/>
      <c r="D55" s="11"/>
      <c r="E55" s="12"/>
      <c r="F55" s="11"/>
      <c r="G55" s="12"/>
    </row>
    <row r="56" spans="1:7" x14ac:dyDescent="0.25">
      <c r="A56" s="9">
        <f>'Como usar'!$B$4+INT((ROW()-2)/6)</f>
        <v>46299</v>
      </c>
      <c r="B56" s="10" t="s">
        <v>7</v>
      </c>
      <c r="C56" s="11"/>
      <c r="D56" s="11"/>
      <c r="E56" s="12"/>
      <c r="F56" s="11"/>
      <c r="G56" s="12"/>
    </row>
    <row r="57" spans="1:7" x14ac:dyDescent="0.25">
      <c r="A57" s="9">
        <f>'Como usar'!$B$4+INT((ROW()-2)/6)</f>
        <v>46299</v>
      </c>
      <c r="B57" s="10" t="s">
        <v>8</v>
      </c>
      <c r="C57" s="11"/>
      <c r="D57" s="11"/>
      <c r="E57" s="12"/>
      <c r="F57" s="11"/>
      <c r="G57" s="12"/>
    </row>
    <row r="58" spans="1:7" x14ac:dyDescent="0.25">
      <c r="A58" s="9">
        <f>'Como usar'!$B$4+INT((ROW()-2)/6)</f>
        <v>46299</v>
      </c>
      <c r="B58" s="10" t="s">
        <v>9</v>
      </c>
      <c r="C58" s="11"/>
      <c r="D58" s="11"/>
      <c r="E58" s="12"/>
      <c r="F58" s="11"/>
      <c r="G58" s="12"/>
    </row>
    <row r="59" spans="1:7" x14ac:dyDescent="0.25">
      <c r="A59" s="9">
        <f>'Como usar'!$B$4+INT((ROW()-2)/6)</f>
        <v>46299</v>
      </c>
      <c r="B59" s="10" t="s">
        <v>10</v>
      </c>
      <c r="C59" s="11"/>
      <c r="D59" s="11"/>
      <c r="E59" s="12"/>
      <c r="F59" s="11"/>
      <c r="G59" s="12"/>
    </row>
    <row r="60" spans="1:7" x14ac:dyDescent="0.25">
      <c r="A60" s="9">
        <f>'Como usar'!$B$4+INT((ROW()-2)/6)</f>
        <v>46299</v>
      </c>
      <c r="B60" s="10" t="s">
        <v>11</v>
      </c>
      <c r="C60" s="11"/>
      <c r="D60" s="11"/>
      <c r="E60" s="12"/>
      <c r="F60" s="11"/>
      <c r="G60" s="12"/>
    </row>
    <row r="61" spans="1:7" x14ac:dyDescent="0.25">
      <c r="A61" s="9">
        <f>'Como usar'!$B$4+INT((ROW()-2)/6)</f>
        <v>46299</v>
      </c>
      <c r="B61" s="10" t="s">
        <v>12</v>
      </c>
      <c r="C61" s="11"/>
      <c r="D61" s="11"/>
      <c r="E61" s="12"/>
      <c r="F61" s="11"/>
      <c r="G61" s="12"/>
    </row>
    <row r="62" spans="1:7" x14ac:dyDescent="0.25">
      <c r="A62" s="9">
        <f>'Como usar'!$B$4+INT((ROW()-2)/6)</f>
        <v>46300</v>
      </c>
      <c r="B62" s="10" t="s">
        <v>7</v>
      </c>
      <c r="C62" s="11"/>
      <c r="D62" s="11"/>
      <c r="E62" s="12"/>
      <c r="F62" s="11"/>
      <c r="G62" s="12"/>
    </row>
    <row r="63" spans="1:7" x14ac:dyDescent="0.25">
      <c r="A63" s="9">
        <f>'Como usar'!$B$4+INT((ROW()-2)/6)</f>
        <v>46300</v>
      </c>
      <c r="B63" s="10" t="s">
        <v>8</v>
      </c>
      <c r="C63" s="11"/>
      <c r="D63" s="11"/>
      <c r="E63" s="12"/>
      <c r="F63" s="11"/>
      <c r="G63" s="12"/>
    </row>
    <row r="64" spans="1:7" x14ac:dyDescent="0.25">
      <c r="A64" s="9">
        <f>'Como usar'!$B$4+INT((ROW()-2)/6)</f>
        <v>46300</v>
      </c>
      <c r="B64" s="10" t="s">
        <v>9</v>
      </c>
      <c r="C64" s="11"/>
      <c r="D64" s="11"/>
      <c r="E64" s="12"/>
      <c r="F64" s="11"/>
      <c r="G64" s="12"/>
    </row>
    <row r="65" spans="1:7" x14ac:dyDescent="0.25">
      <c r="A65" s="9">
        <f>'Como usar'!$B$4+INT((ROW()-2)/6)</f>
        <v>46300</v>
      </c>
      <c r="B65" s="10" t="s">
        <v>10</v>
      </c>
      <c r="C65" s="11"/>
      <c r="D65" s="11"/>
      <c r="E65" s="12"/>
      <c r="F65" s="11"/>
      <c r="G65" s="12"/>
    </row>
    <row r="66" spans="1:7" x14ac:dyDescent="0.25">
      <c r="A66" s="9">
        <f>'Como usar'!$B$4+INT((ROW()-2)/6)</f>
        <v>46300</v>
      </c>
      <c r="B66" s="10" t="s">
        <v>11</v>
      </c>
      <c r="C66" s="11"/>
      <c r="D66" s="11"/>
      <c r="E66" s="12"/>
      <c r="F66" s="11"/>
      <c r="G66" s="12"/>
    </row>
    <row r="67" spans="1:7" x14ac:dyDescent="0.25">
      <c r="A67" s="9">
        <f>'Como usar'!$B$4+INT((ROW()-2)/6)</f>
        <v>46300</v>
      </c>
      <c r="B67" s="10" t="s">
        <v>12</v>
      </c>
      <c r="C67" s="11"/>
      <c r="D67" s="11"/>
      <c r="E67" s="12"/>
      <c r="F67" s="11"/>
      <c r="G67" s="12"/>
    </row>
    <row r="68" spans="1:7" x14ac:dyDescent="0.25">
      <c r="A68" s="9">
        <f>'Como usar'!$B$4+INT((ROW()-2)/6)</f>
        <v>46301</v>
      </c>
      <c r="B68" s="10" t="s">
        <v>7</v>
      </c>
      <c r="C68" s="11"/>
      <c r="D68" s="11"/>
      <c r="E68" s="12"/>
      <c r="F68" s="11"/>
      <c r="G68" s="12"/>
    </row>
    <row r="69" spans="1:7" x14ac:dyDescent="0.25">
      <c r="A69" s="9">
        <f>'Como usar'!$B$4+INT((ROW()-2)/6)</f>
        <v>46301</v>
      </c>
      <c r="B69" s="10" t="s">
        <v>8</v>
      </c>
      <c r="C69" s="11"/>
      <c r="D69" s="11"/>
      <c r="E69" s="12"/>
      <c r="F69" s="11"/>
      <c r="G69" s="12"/>
    </row>
    <row r="70" spans="1:7" x14ac:dyDescent="0.25">
      <c r="A70" s="9">
        <f>'Como usar'!$B$4+INT((ROW()-2)/6)</f>
        <v>46301</v>
      </c>
      <c r="B70" s="10" t="s">
        <v>9</v>
      </c>
      <c r="C70" s="11"/>
      <c r="D70" s="11"/>
      <c r="E70" s="12"/>
      <c r="F70" s="11"/>
      <c r="G70" s="12"/>
    </row>
    <row r="71" spans="1:7" x14ac:dyDescent="0.25">
      <c r="A71" s="9">
        <f>'Como usar'!$B$4+INT((ROW()-2)/6)</f>
        <v>46301</v>
      </c>
      <c r="B71" s="10" t="s">
        <v>10</v>
      </c>
      <c r="C71" s="11"/>
      <c r="D71" s="11"/>
      <c r="E71" s="12"/>
      <c r="F71" s="11"/>
      <c r="G71" s="12"/>
    </row>
    <row r="72" spans="1:7" x14ac:dyDescent="0.25">
      <c r="A72" s="9">
        <f>'Como usar'!$B$4+INT((ROW()-2)/6)</f>
        <v>46301</v>
      </c>
      <c r="B72" s="10" t="s">
        <v>11</v>
      </c>
      <c r="C72" s="11"/>
      <c r="D72" s="11"/>
      <c r="E72" s="12"/>
      <c r="F72" s="11"/>
      <c r="G72" s="12"/>
    </row>
    <row r="73" spans="1:7" x14ac:dyDescent="0.25">
      <c r="A73" s="9">
        <f>'Como usar'!$B$4+INT((ROW()-2)/6)</f>
        <v>46301</v>
      </c>
      <c r="B73" s="10" t="s">
        <v>12</v>
      </c>
      <c r="C73" s="11"/>
      <c r="D73" s="11"/>
      <c r="E73" s="12"/>
      <c r="F73" s="11"/>
      <c r="G73" s="12"/>
    </row>
    <row r="74" spans="1:7" x14ac:dyDescent="0.25">
      <c r="A74" s="9">
        <f>'Como usar'!$B$4+INT((ROW()-2)/6)</f>
        <v>46302</v>
      </c>
      <c r="B74" s="10" t="s">
        <v>7</v>
      </c>
      <c r="C74" s="11"/>
      <c r="D74" s="11"/>
      <c r="E74" s="12"/>
      <c r="F74" s="11"/>
      <c r="G74" s="12"/>
    </row>
    <row r="75" spans="1:7" x14ac:dyDescent="0.25">
      <c r="A75" s="9">
        <f>'Como usar'!$B$4+INT((ROW()-2)/6)</f>
        <v>46302</v>
      </c>
      <c r="B75" s="10" t="s">
        <v>8</v>
      </c>
      <c r="C75" s="11"/>
      <c r="D75" s="11"/>
      <c r="E75" s="12"/>
      <c r="F75" s="11"/>
      <c r="G75" s="12"/>
    </row>
    <row r="76" spans="1:7" x14ac:dyDescent="0.25">
      <c r="A76" s="9">
        <f>'Como usar'!$B$4+INT((ROW()-2)/6)</f>
        <v>46302</v>
      </c>
      <c r="B76" s="10" t="s">
        <v>9</v>
      </c>
      <c r="C76" s="11"/>
      <c r="D76" s="11"/>
      <c r="E76" s="12"/>
      <c r="F76" s="11"/>
      <c r="G76" s="12"/>
    </row>
    <row r="77" spans="1:7" x14ac:dyDescent="0.25">
      <c r="A77" s="9">
        <f>'Como usar'!$B$4+INT((ROW()-2)/6)</f>
        <v>46302</v>
      </c>
      <c r="B77" s="10" t="s">
        <v>10</v>
      </c>
      <c r="C77" s="11"/>
      <c r="D77" s="11"/>
      <c r="E77" s="12"/>
      <c r="F77" s="11"/>
      <c r="G77" s="12"/>
    </row>
    <row r="78" spans="1:7" x14ac:dyDescent="0.25">
      <c r="A78" s="9">
        <f>'Como usar'!$B$4+INT((ROW()-2)/6)</f>
        <v>46302</v>
      </c>
      <c r="B78" s="10" t="s">
        <v>11</v>
      </c>
      <c r="C78" s="11"/>
      <c r="D78" s="11"/>
      <c r="E78" s="12"/>
      <c r="F78" s="11"/>
      <c r="G78" s="12"/>
    </row>
    <row r="79" spans="1:7" x14ac:dyDescent="0.25">
      <c r="A79" s="9">
        <f>'Como usar'!$B$4+INT((ROW()-2)/6)</f>
        <v>46302</v>
      </c>
      <c r="B79" s="10" t="s">
        <v>12</v>
      </c>
      <c r="C79" s="11"/>
      <c r="D79" s="11"/>
      <c r="E79" s="12"/>
      <c r="F79" s="11"/>
      <c r="G79" s="12"/>
    </row>
    <row r="80" spans="1:7" x14ac:dyDescent="0.25">
      <c r="A80" s="9">
        <f>'Como usar'!$B$4+INT((ROW()-2)/6)</f>
        <v>46303</v>
      </c>
      <c r="B80" s="10" t="s">
        <v>7</v>
      </c>
      <c r="C80" s="11"/>
      <c r="D80" s="11"/>
      <c r="E80" s="12"/>
      <c r="F80" s="11"/>
      <c r="G80" s="12"/>
    </row>
    <row r="81" spans="1:7" x14ac:dyDescent="0.25">
      <c r="A81" s="9">
        <f>'Como usar'!$B$4+INT((ROW()-2)/6)</f>
        <v>46303</v>
      </c>
      <c r="B81" s="10" t="s">
        <v>8</v>
      </c>
      <c r="C81" s="11"/>
      <c r="D81" s="11"/>
      <c r="E81" s="12"/>
      <c r="F81" s="11"/>
      <c r="G81" s="12"/>
    </row>
    <row r="82" spans="1:7" x14ac:dyDescent="0.25">
      <c r="A82" s="9">
        <f>'Como usar'!$B$4+INT((ROW()-2)/6)</f>
        <v>46303</v>
      </c>
      <c r="B82" s="10" t="s">
        <v>9</v>
      </c>
      <c r="C82" s="11"/>
      <c r="D82" s="11"/>
      <c r="E82" s="12"/>
      <c r="F82" s="11"/>
      <c r="G82" s="12"/>
    </row>
    <row r="83" spans="1:7" x14ac:dyDescent="0.25">
      <c r="A83" s="9">
        <f>'Como usar'!$B$4+INT((ROW()-2)/6)</f>
        <v>46303</v>
      </c>
      <c r="B83" s="10" t="s">
        <v>10</v>
      </c>
      <c r="C83" s="11"/>
      <c r="D83" s="11"/>
      <c r="E83" s="12"/>
      <c r="F83" s="11"/>
      <c r="G83" s="12"/>
    </row>
    <row r="84" spans="1:7" x14ac:dyDescent="0.25">
      <c r="A84" s="9">
        <f>'Como usar'!$B$4+INT((ROW()-2)/6)</f>
        <v>46303</v>
      </c>
      <c r="B84" s="10" t="s">
        <v>11</v>
      </c>
      <c r="C84" s="11"/>
      <c r="D84" s="11"/>
      <c r="E84" s="12"/>
      <c r="F84" s="11"/>
      <c r="G84" s="12"/>
    </row>
    <row r="85" spans="1:7" x14ac:dyDescent="0.25">
      <c r="A85" s="9">
        <f>'Como usar'!$B$4+INT((ROW()-2)/6)</f>
        <v>46303</v>
      </c>
      <c r="B85" s="10" t="s">
        <v>12</v>
      </c>
      <c r="C85" s="11"/>
      <c r="D85" s="11"/>
      <c r="E85" s="12"/>
      <c r="F85" s="11"/>
      <c r="G85" s="12"/>
    </row>
    <row r="86" spans="1:7" x14ac:dyDescent="0.25">
      <c r="A86" s="9">
        <f>'Como usar'!$B$4+INT((ROW()-2)/6)</f>
        <v>46304</v>
      </c>
      <c r="B86" s="10" t="s">
        <v>7</v>
      </c>
      <c r="C86" s="11"/>
      <c r="D86" s="11"/>
      <c r="E86" s="12"/>
      <c r="F86" s="11"/>
      <c r="G86" s="12"/>
    </row>
    <row r="87" spans="1:7" x14ac:dyDescent="0.25">
      <c r="A87" s="9">
        <f>'Como usar'!$B$4+INT((ROW()-2)/6)</f>
        <v>46304</v>
      </c>
      <c r="B87" s="10" t="s">
        <v>8</v>
      </c>
      <c r="C87" s="11"/>
      <c r="D87" s="11"/>
      <c r="E87" s="12"/>
      <c r="F87" s="11"/>
      <c r="G87" s="12"/>
    </row>
    <row r="88" spans="1:7" x14ac:dyDescent="0.25">
      <c r="A88" s="9">
        <f>'Como usar'!$B$4+INT((ROW()-2)/6)</f>
        <v>46304</v>
      </c>
      <c r="B88" s="10" t="s">
        <v>9</v>
      </c>
      <c r="C88" s="11"/>
      <c r="D88" s="11"/>
      <c r="E88" s="12"/>
      <c r="F88" s="11"/>
      <c r="G88" s="12"/>
    </row>
    <row r="89" spans="1:7" x14ac:dyDescent="0.25">
      <c r="A89" s="9">
        <f>'Como usar'!$B$4+INT((ROW()-2)/6)</f>
        <v>46304</v>
      </c>
      <c r="B89" s="10" t="s">
        <v>10</v>
      </c>
      <c r="C89" s="11"/>
      <c r="D89" s="11"/>
      <c r="E89" s="12"/>
      <c r="F89" s="11"/>
      <c r="G89" s="12"/>
    </row>
    <row r="90" spans="1:7" x14ac:dyDescent="0.25">
      <c r="A90" s="9">
        <f>'Como usar'!$B$4+INT((ROW()-2)/6)</f>
        <v>46304</v>
      </c>
      <c r="B90" s="10" t="s">
        <v>11</v>
      </c>
      <c r="C90" s="11"/>
      <c r="D90" s="11"/>
      <c r="E90" s="12"/>
      <c r="F90" s="11"/>
      <c r="G90" s="12"/>
    </row>
    <row r="91" spans="1:7" x14ac:dyDescent="0.25">
      <c r="A91" s="9">
        <f>'Como usar'!$B$4+INT((ROW()-2)/6)</f>
        <v>46304</v>
      </c>
      <c r="B91" s="10" t="s">
        <v>12</v>
      </c>
      <c r="C91" s="11"/>
      <c r="D91" s="11"/>
      <c r="E91" s="12"/>
      <c r="F91" s="11"/>
      <c r="G91" s="12"/>
    </row>
    <row r="92" spans="1:7" x14ac:dyDescent="0.25">
      <c r="A92" s="9">
        <f>'Como usar'!$B$4+INT((ROW()-2)/6)</f>
        <v>46305</v>
      </c>
      <c r="B92" s="10" t="s">
        <v>7</v>
      </c>
      <c r="C92" s="11"/>
      <c r="D92" s="11"/>
      <c r="E92" s="12"/>
      <c r="F92" s="11"/>
      <c r="G92" s="12"/>
    </row>
    <row r="93" spans="1:7" x14ac:dyDescent="0.25">
      <c r="A93" s="9">
        <f>'Como usar'!$B$4+INT((ROW()-2)/6)</f>
        <v>46305</v>
      </c>
      <c r="B93" s="10" t="s">
        <v>8</v>
      </c>
      <c r="C93" s="11"/>
      <c r="D93" s="11"/>
      <c r="E93" s="12"/>
      <c r="F93" s="11"/>
      <c r="G93" s="12"/>
    </row>
    <row r="94" spans="1:7" x14ac:dyDescent="0.25">
      <c r="A94" s="9">
        <f>'Como usar'!$B$4+INT((ROW()-2)/6)</f>
        <v>46305</v>
      </c>
      <c r="B94" s="10" t="s">
        <v>9</v>
      </c>
      <c r="C94" s="11"/>
      <c r="D94" s="11"/>
      <c r="E94" s="12"/>
      <c r="F94" s="11"/>
      <c r="G94" s="12"/>
    </row>
    <row r="95" spans="1:7" x14ac:dyDescent="0.25">
      <c r="A95" s="9">
        <f>'Como usar'!$B$4+INT((ROW()-2)/6)</f>
        <v>46305</v>
      </c>
      <c r="B95" s="10" t="s">
        <v>10</v>
      </c>
      <c r="C95" s="11"/>
      <c r="D95" s="11"/>
      <c r="E95" s="12"/>
      <c r="F95" s="11"/>
      <c r="G95" s="12"/>
    </row>
    <row r="96" spans="1:7" x14ac:dyDescent="0.25">
      <c r="A96" s="9">
        <f>'Como usar'!$B$4+INT((ROW()-2)/6)</f>
        <v>46305</v>
      </c>
      <c r="B96" s="10" t="s">
        <v>11</v>
      </c>
      <c r="C96" s="11"/>
      <c r="D96" s="11"/>
      <c r="E96" s="12"/>
      <c r="F96" s="11"/>
      <c r="G96" s="12"/>
    </row>
    <row r="97" spans="1:7" x14ac:dyDescent="0.25">
      <c r="A97" s="9">
        <f>'Como usar'!$B$4+INT((ROW()-2)/6)</f>
        <v>46305</v>
      </c>
      <c r="B97" s="10" t="s">
        <v>12</v>
      </c>
      <c r="C97" s="11"/>
      <c r="D97" s="11"/>
      <c r="E97" s="12"/>
      <c r="F97" s="11"/>
      <c r="G97" s="12"/>
    </row>
    <row r="98" spans="1:7" x14ac:dyDescent="0.25">
      <c r="A98" s="9">
        <f>'Como usar'!$B$4+INT((ROW()-2)/6)</f>
        <v>46306</v>
      </c>
      <c r="B98" s="10" t="s">
        <v>7</v>
      </c>
      <c r="C98" s="11"/>
      <c r="D98" s="11"/>
      <c r="E98" s="12"/>
      <c r="F98" s="11"/>
      <c r="G98" s="12"/>
    </row>
    <row r="99" spans="1:7" x14ac:dyDescent="0.25">
      <c r="A99" s="9">
        <f>'Como usar'!$B$4+INT((ROW()-2)/6)</f>
        <v>46306</v>
      </c>
      <c r="B99" s="10" t="s">
        <v>8</v>
      </c>
      <c r="C99" s="11"/>
      <c r="D99" s="11"/>
      <c r="E99" s="12"/>
      <c r="F99" s="11"/>
      <c r="G99" s="12"/>
    </row>
    <row r="100" spans="1:7" x14ac:dyDescent="0.25">
      <c r="A100" s="9">
        <f>'Como usar'!$B$4+INT((ROW()-2)/6)</f>
        <v>46306</v>
      </c>
      <c r="B100" s="10" t="s">
        <v>9</v>
      </c>
      <c r="C100" s="11"/>
      <c r="D100" s="11"/>
      <c r="E100" s="12"/>
      <c r="F100" s="11"/>
      <c r="G100" s="12"/>
    </row>
    <row r="101" spans="1:7" x14ac:dyDescent="0.25">
      <c r="A101" s="9">
        <f>'Como usar'!$B$4+INT((ROW()-2)/6)</f>
        <v>46306</v>
      </c>
      <c r="B101" s="10" t="s">
        <v>10</v>
      </c>
      <c r="C101" s="11"/>
      <c r="D101" s="11"/>
      <c r="E101" s="12"/>
      <c r="F101" s="11"/>
      <c r="G101" s="12"/>
    </row>
    <row r="102" spans="1:7" x14ac:dyDescent="0.25">
      <c r="A102" s="9">
        <f>'Como usar'!$B$4+INT((ROW()-2)/6)</f>
        <v>46306</v>
      </c>
      <c r="B102" s="10" t="s">
        <v>11</v>
      </c>
      <c r="C102" s="11"/>
      <c r="D102" s="11"/>
      <c r="E102" s="12"/>
      <c r="F102" s="11"/>
      <c r="G102" s="12"/>
    </row>
    <row r="103" spans="1:7" x14ac:dyDescent="0.25">
      <c r="A103" s="9">
        <f>'Como usar'!$B$4+INT((ROW()-2)/6)</f>
        <v>46306</v>
      </c>
      <c r="B103" s="10" t="s">
        <v>12</v>
      </c>
      <c r="C103" s="11"/>
      <c r="D103" s="11"/>
      <c r="E103" s="12"/>
      <c r="F103" s="11"/>
      <c r="G103" s="12"/>
    </row>
    <row r="104" spans="1:7" x14ac:dyDescent="0.25">
      <c r="A104" s="9">
        <f>'Como usar'!$B$4+INT((ROW()-2)/6)</f>
        <v>46307</v>
      </c>
      <c r="B104" s="10" t="s">
        <v>7</v>
      </c>
      <c r="C104" s="11"/>
      <c r="D104" s="11"/>
      <c r="E104" s="12"/>
      <c r="F104" s="11"/>
      <c r="G104" s="12"/>
    </row>
    <row r="105" spans="1:7" x14ac:dyDescent="0.25">
      <c r="A105" s="9">
        <f>'Como usar'!$B$4+INT((ROW()-2)/6)</f>
        <v>46307</v>
      </c>
      <c r="B105" s="10" t="s">
        <v>8</v>
      </c>
      <c r="C105" s="11"/>
      <c r="D105" s="11"/>
      <c r="E105" s="12"/>
      <c r="F105" s="11"/>
      <c r="G105" s="12"/>
    </row>
    <row r="106" spans="1:7" x14ac:dyDescent="0.25">
      <c r="A106" s="9">
        <f>'Como usar'!$B$4+INT((ROW()-2)/6)</f>
        <v>46307</v>
      </c>
      <c r="B106" s="10" t="s">
        <v>9</v>
      </c>
      <c r="C106" s="11"/>
      <c r="D106" s="11"/>
      <c r="E106" s="12"/>
      <c r="F106" s="11"/>
      <c r="G106" s="12"/>
    </row>
    <row r="107" spans="1:7" x14ac:dyDescent="0.25">
      <c r="A107" s="9">
        <f>'Como usar'!$B$4+INT((ROW()-2)/6)</f>
        <v>46307</v>
      </c>
      <c r="B107" s="10" t="s">
        <v>10</v>
      </c>
      <c r="C107" s="11"/>
      <c r="D107" s="11"/>
      <c r="E107" s="12"/>
      <c r="F107" s="11"/>
      <c r="G107" s="12"/>
    </row>
    <row r="108" spans="1:7" x14ac:dyDescent="0.25">
      <c r="A108" s="9">
        <f>'Como usar'!$B$4+INT((ROW()-2)/6)</f>
        <v>46307</v>
      </c>
      <c r="B108" s="10" t="s">
        <v>11</v>
      </c>
      <c r="C108" s="11"/>
      <c r="D108" s="11"/>
      <c r="E108" s="12"/>
      <c r="F108" s="11"/>
      <c r="G108" s="12"/>
    </row>
    <row r="109" spans="1:7" x14ac:dyDescent="0.25">
      <c r="A109" s="9">
        <f>'Como usar'!$B$4+INT((ROW()-2)/6)</f>
        <v>46307</v>
      </c>
      <c r="B109" s="10" t="s">
        <v>12</v>
      </c>
      <c r="C109" s="11"/>
      <c r="D109" s="11"/>
      <c r="E109" s="12"/>
      <c r="F109" s="11"/>
      <c r="G109" s="12"/>
    </row>
    <row r="110" spans="1:7" x14ac:dyDescent="0.25">
      <c r="A110" s="9">
        <f>'Como usar'!$B$4+INT((ROW()-2)/6)</f>
        <v>46308</v>
      </c>
      <c r="B110" s="10" t="s">
        <v>7</v>
      </c>
      <c r="C110" s="11"/>
      <c r="D110" s="11"/>
      <c r="E110" s="12"/>
      <c r="F110" s="11"/>
      <c r="G110" s="12"/>
    </row>
    <row r="111" spans="1:7" x14ac:dyDescent="0.25">
      <c r="A111" s="9">
        <f>'Como usar'!$B$4+INT((ROW()-2)/6)</f>
        <v>46308</v>
      </c>
      <c r="B111" s="10" t="s">
        <v>8</v>
      </c>
      <c r="C111" s="11"/>
      <c r="D111" s="11"/>
      <c r="E111" s="12"/>
      <c r="F111" s="11"/>
      <c r="G111" s="12"/>
    </row>
    <row r="112" spans="1:7" x14ac:dyDescent="0.25">
      <c r="A112" s="9">
        <f>'Como usar'!$B$4+INT((ROW()-2)/6)</f>
        <v>46308</v>
      </c>
      <c r="B112" s="10" t="s">
        <v>9</v>
      </c>
      <c r="C112" s="11"/>
      <c r="D112" s="11"/>
      <c r="E112" s="12"/>
      <c r="F112" s="11"/>
      <c r="G112" s="12"/>
    </row>
    <row r="113" spans="1:7" x14ac:dyDescent="0.25">
      <c r="A113" s="9">
        <f>'Como usar'!$B$4+INT((ROW()-2)/6)</f>
        <v>46308</v>
      </c>
      <c r="B113" s="10" t="s">
        <v>10</v>
      </c>
      <c r="C113" s="11"/>
      <c r="D113" s="11"/>
      <c r="E113" s="12"/>
      <c r="F113" s="11"/>
      <c r="G113" s="12"/>
    </row>
    <row r="114" spans="1:7" x14ac:dyDescent="0.25">
      <c r="A114" s="9">
        <f>'Como usar'!$B$4+INT((ROW()-2)/6)</f>
        <v>46308</v>
      </c>
      <c r="B114" s="10" t="s">
        <v>11</v>
      </c>
      <c r="C114" s="11"/>
      <c r="D114" s="11"/>
      <c r="E114" s="12"/>
      <c r="F114" s="11"/>
      <c r="G114" s="12"/>
    </row>
    <row r="115" spans="1:7" x14ac:dyDescent="0.25">
      <c r="A115" s="9">
        <f>'Como usar'!$B$4+INT((ROW()-2)/6)</f>
        <v>46308</v>
      </c>
      <c r="B115" s="10" t="s">
        <v>12</v>
      </c>
      <c r="C115" s="11"/>
      <c r="D115" s="11"/>
      <c r="E115" s="12"/>
      <c r="F115" s="11"/>
      <c r="G115" s="12"/>
    </row>
    <row r="116" spans="1:7" x14ac:dyDescent="0.25">
      <c r="A116" s="9">
        <f>'Como usar'!$B$4+INT((ROW()-2)/6)</f>
        <v>46309</v>
      </c>
      <c r="B116" s="10" t="s">
        <v>7</v>
      </c>
      <c r="C116" s="11"/>
      <c r="D116" s="11"/>
      <c r="E116" s="12"/>
      <c r="F116" s="11"/>
      <c r="G116" s="12"/>
    </row>
    <row r="117" spans="1:7" x14ac:dyDescent="0.25">
      <c r="A117" s="9">
        <f>'Como usar'!$B$4+INT((ROW()-2)/6)</f>
        <v>46309</v>
      </c>
      <c r="B117" s="10" t="s">
        <v>8</v>
      </c>
      <c r="C117" s="11"/>
      <c r="D117" s="11"/>
      <c r="E117" s="12"/>
      <c r="F117" s="11"/>
      <c r="G117" s="12"/>
    </row>
    <row r="118" spans="1:7" x14ac:dyDescent="0.25">
      <c r="A118" s="9">
        <f>'Como usar'!$B$4+INT((ROW()-2)/6)</f>
        <v>46309</v>
      </c>
      <c r="B118" s="10" t="s">
        <v>9</v>
      </c>
      <c r="C118" s="11"/>
      <c r="D118" s="11"/>
      <c r="E118" s="12"/>
      <c r="F118" s="11"/>
      <c r="G118" s="12"/>
    </row>
    <row r="119" spans="1:7" x14ac:dyDescent="0.25">
      <c r="A119" s="9">
        <f>'Como usar'!$B$4+INT((ROW()-2)/6)</f>
        <v>46309</v>
      </c>
      <c r="B119" s="10" t="s">
        <v>10</v>
      </c>
      <c r="C119" s="11"/>
      <c r="D119" s="11"/>
      <c r="E119" s="12"/>
      <c r="F119" s="11"/>
      <c r="G119" s="12"/>
    </row>
    <row r="120" spans="1:7" x14ac:dyDescent="0.25">
      <c r="A120" s="9">
        <f>'Como usar'!$B$4+INT((ROW()-2)/6)</f>
        <v>46309</v>
      </c>
      <c r="B120" s="10" t="s">
        <v>11</v>
      </c>
      <c r="C120" s="11"/>
      <c r="D120" s="11"/>
      <c r="E120" s="12"/>
      <c r="F120" s="11"/>
      <c r="G120" s="12"/>
    </row>
    <row r="121" spans="1:7" x14ac:dyDescent="0.25">
      <c r="A121" s="9">
        <f>'Como usar'!$B$4+INT((ROW()-2)/6)</f>
        <v>46309</v>
      </c>
      <c r="B121" s="10" t="s">
        <v>12</v>
      </c>
      <c r="C121" s="11"/>
      <c r="D121" s="11"/>
      <c r="E121" s="12"/>
      <c r="F121" s="11"/>
      <c r="G121" s="12"/>
    </row>
    <row r="122" spans="1:7" x14ac:dyDescent="0.25">
      <c r="A122" s="9">
        <f>'Como usar'!$B$4+INT((ROW()-2)/6)</f>
        <v>46310</v>
      </c>
      <c r="B122" s="10" t="s">
        <v>7</v>
      </c>
      <c r="C122" s="11"/>
      <c r="D122" s="11"/>
      <c r="E122" s="12"/>
      <c r="F122" s="11"/>
      <c r="G122" s="12"/>
    </row>
    <row r="123" spans="1:7" x14ac:dyDescent="0.25">
      <c r="A123" s="9">
        <f>'Como usar'!$B$4+INT((ROW()-2)/6)</f>
        <v>46310</v>
      </c>
      <c r="B123" s="10" t="s">
        <v>8</v>
      </c>
      <c r="C123" s="11"/>
      <c r="D123" s="11"/>
      <c r="E123" s="12"/>
      <c r="F123" s="11"/>
      <c r="G123" s="12"/>
    </row>
    <row r="124" spans="1:7" x14ac:dyDescent="0.25">
      <c r="A124" s="9">
        <f>'Como usar'!$B$4+INT((ROW()-2)/6)</f>
        <v>46310</v>
      </c>
      <c r="B124" s="10" t="s">
        <v>9</v>
      </c>
      <c r="C124" s="11"/>
      <c r="D124" s="11"/>
      <c r="E124" s="12"/>
      <c r="F124" s="11"/>
      <c r="G124" s="12"/>
    </row>
    <row r="125" spans="1:7" x14ac:dyDescent="0.25">
      <c r="A125" s="9">
        <f>'Como usar'!$B$4+INT((ROW()-2)/6)</f>
        <v>46310</v>
      </c>
      <c r="B125" s="10" t="s">
        <v>10</v>
      </c>
      <c r="C125" s="11"/>
      <c r="D125" s="11"/>
      <c r="E125" s="12"/>
      <c r="F125" s="11"/>
      <c r="G125" s="12"/>
    </row>
    <row r="126" spans="1:7" x14ac:dyDescent="0.25">
      <c r="A126" s="9">
        <f>'Como usar'!$B$4+INT((ROW()-2)/6)</f>
        <v>46310</v>
      </c>
      <c r="B126" s="10" t="s">
        <v>11</v>
      </c>
      <c r="C126" s="11"/>
      <c r="D126" s="11"/>
      <c r="E126" s="12"/>
      <c r="F126" s="11"/>
      <c r="G126" s="12"/>
    </row>
    <row r="127" spans="1:7" x14ac:dyDescent="0.25">
      <c r="A127" s="9">
        <f>'Como usar'!$B$4+INT((ROW()-2)/6)</f>
        <v>46310</v>
      </c>
      <c r="B127" s="10" t="s">
        <v>12</v>
      </c>
      <c r="C127" s="11"/>
      <c r="D127" s="11"/>
      <c r="E127" s="12"/>
      <c r="F127" s="11"/>
      <c r="G127" s="12"/>
    </row>
    <row r="128" spans="1:7" x14ac:dyDescent="0.25">
      <c r="A128" s="9">
        <f>'Como usar'!$B$4+INT((ROW()-2)/6)</f>
        <v>46311</v>
      </c>
      <c r="B128" s="10" t="s">
        <v>7</v>
      </c>
      <c r="C128" s="11"/>
      <c r="D128" s="11"/>
      <c r="E128" s="12"/>
      <c r="F128" s="11"/>
      <c r="G128" s="12"/>
    </row>
    <row r="129" spans="1:7" x14ac:dyDescent="0.25">
      <c r="A129" s="9">
        <f>'Como usar'!$B$4+INT((ROW()-2)/6)</f>
        <v>46311</v>
      </c>
      <c r="B129" s="10" t="s">
        <v>8</v>
      </c>
      <c r="C129" s="11"/>
      <c r="D129" s="11"/>
      <c r="E129" s="12"/>
      <c r="F129" s="11"/>
      <c r="G129" s="12"/>
    </row>
    <row r="130" spans="1:7" x14ac:dyDescent="0.25">
      <c r="A130" s="9">
        <f>'Como usar'!$B$4+INT((ROW()-2)/6)</f>
        <v>46311</v>
      </c>
      <c r="B130" s="10" t="s">
        <v>9</v>
      </c>
      <c r="C130" s="11"/>
      <c r="D130" s="11"/>
      <c r="E130" s="12"/>
      <c r="F130" s="11"/>
      <c r="G130" s="12"/>
    </row>
    <row r="131" spans="1:7" x14ac:dyDescent="0.25">
      <c r="A131" s="9">
        <f>'Como usar'!$B$4+INT((ROW()-2)/6)</f>
        <v>46311</v>
      </c>
      <c r="B131" s="10" t="s">
        <v>10</v>
      </c>
      <c r="C131" s="11"/>
      <c r="D131" s="11"/>
      <c r="E131" s="12"/>
      <c r="F131" s="11"/>
      <c r="G131" s="12"/>
    </row>
    <row r="132" spans="1:7" x14ac:dyDescent="0.25">
      <c r="A132" s="9">
        <f>'Como usar'!$B$4+INT((ROW()-2)/6)</f>
        <v>46311</v>
      </c>
      <c r="B132" s="10" t="s">
        <v>11</v>
      </c>
      <c r="C132" s="11"/>
      <c r="D132" s="11"/>
      <c r="E132" s="12"/>
      <c r="F132" s="11"/>
      <c r="G132" s="12"/>
    </row>
    <row r="133" spans="1:7" x14ac:dyDescent="0.25">
      <c r="A133" s="9">
        <f>'Como usar'!$B$4+INT((ROW()-2)/6)</f>
        <v>46311</v>
      </c>
      <c r="B133" s="10" t="s">
        <v>12</v>
      </c>
      <c r="C133" s="11"/>
      <c r="D133" s="11"/>
      <c r="E133" s="12"/>
      <c r="F133" s="11"/>
      <c r="G133" s="12"/>
    </row>
    <row r="134" spans="1:7" x14ac:dyDescent="0.25">
      <c r="A134" s="9">
        <f>'Como usar'!$B$4+INT((ROW()-2)/6)</f>
        <v>46312</v>
      </c>
      <c r="B134" s="10" t="s">
        <v>7</v>
      </c>
      <c r="C134" s="11"/>
      <c r="D134" s="11"/>
      <c r="E134" s="12"/>
      <c r="F134" s="11"/>
      <c r="G134" s="12"/>
    </row>
    <row r="135" spans="1:7" x14ac:dyDescent="0.25">
      <c r="A135" s="9">
        <f>'Como usar'!$B$4+INT((ROW()-2)/6)</f>
        <v>46312</v>
      </c>
      <c r="B135" s="10" t="s">
        <v>8</v>
      </c>
      <c r="C135" s="11"/>
      <c r="D135" s="11"/>
      <c r="E135" s="12"/>
      <c r="F135" s="11"/>
      <c r="G135" s="12"/>
    </row>
    <row r="136" spans="1:7" x14ac:dyDescent="0.25">
      <c r="A136" s="9">
        <f>'Como usar'!$B$4+INT((ROW()-2)/6)</f>
        <v>46312</v>
      </c>
      <c r="B136" s="10" t="s">
        <v>9</v>
      </c>
      <c r="C136" s="11"/>
      <c r="D136" s="11"/>
      <c r="E136" s="12"/>
      <c r="F136" s="11"/>
      <c r="G136" s="12"/>
    </row>
    <row r="137" spans="1:7" x14ac:dyDescent="0.25">
      <c r="A137" s="9">
        <f>'Como usar'!$B$4+INT((ROW()-2)/6)</f>
        <v>46312</v>
      </c>
      <c r="B137" s="10" t="s">
        <v>10</v>
      </c>
      <c r="C137" s="11"/>
      <c r="D137" s="11"/>
      <c r="E137" s="12"/>
      <c r="F137" s="11"/>
      <c r="G137" s="12"/>
    </row>
    <row r="138" spans="1:7" x14ac:dyDescent="0.25">
      <c r="A138" s="9">
        <f>'Como usar'!$B$4+INT((ROW()-2)/6)</f>
        <v>46312</v>
      </c>
      <c r="B138" s="10" t="s">
        <v>11</v>
      </c>
      <c r="C138" s="11"/>
      <c r="D138" s="11"/>
      <c r="E138" s="12"/>
      <c r="F138" s="11"/>
      <c r="G138" s="12"/>
    </row>
    <row r="139" spans="1:7" x14ac:dyDescent="0.25">
      <c r="A139" s="9">
        <f>'Como usar'!$B$4+INT((ROW()-2)/6)</f>
        <v>46312</v>
      </c>
      <c r="B139" s="10" t="s">
        <v>12</v>
      </c>
      <c r="C139" s="11"/>
      <c r="D139" s="11"/>
      <c r="E139" s="12"/>
      <c r="F139" s="11"/>
      <c r="G139" s="12"/>
    </row>
    <row r="140" spans="1:7" x14ac:dyDescent="0.25">
      <c r="A140" s="9">
        <f>'Como usar'!$B$4+INT((ROW()-2)/6)</f>
        <v>46313</v>
      </c>
      <c r="B140" s="10" t="s">
        <v>7</v>
      </c>
      <c r="C140" s="11"/>
      <c r="D140" s="11"/>
      <c r="E140" s="12"/>
      <c r="F140" s="11"/>
      <c r="G140" s="12"/>
    </row>
    <row r="141" spans="1:7" x14ac:dyDescent="0.25">
      <c r="A141" s="9">
        <f>'Como usar'!$B$4+INT((ROW()-2)/6)</f>
        <v>46313</v>
      </c>
      <c r="B141" s="10" t="s">
        <v>8</v>
      </c>
      <c r="C141" s="11"/>
      <c r="D141" s="11"/>
      <c r="E141" s="12"/>
      <c r="F141" s="11"/>
      <c r="G141" s="12"/>
    </row>
    <row r="142" spans="1:7" x14ac:dyDescent="0.25">
      <c r="A142" s="9">
        <f>'Como usar'!$B$4+INT((ROW()-2)/6)</f>
        <v>46313</v>
      </c>
      <c r="B142" s="10" t="s">
        <v>9</v>
      </c>
      <c r="C142" s="11"/>
      <c r="D142" s="11"/>
      <c r="E142" s="12"/>
      <c r="F142" s="11"/>
      <c r="G142" s="12"/>
    </row>
    <row r="143" spans="1:7" x14ac:dyDescent="0.25">
      <c r="A143" s="9">
        <f>'Como usar'!$B$4+INT((ROW()-2)/6)</f>
        <v>46313</v>
      </c>
      <c r="B143" s="10" t="s">
        <v>10</v>
      </c>
      <c r="C143" s="11"/>
      <c r="D143" s="11"/>
      <c r="E143" s="12"/>
      <c r="F143" s="11"/>
      <c r="G143" s="12"/>
    </row>
    <row r="144" spans="1:7" x14ac:dyDescent="0.25">
      <c r="A144" s="9">
        <f>'Como usar'!$B$4+INT((ROW()-2)/6)</f>
        <v>46313</v>
      </c>
      <c r="B144" s="10" t="s">
        <v>11</v>
      </c>
      <c r="C144" s="11"/>
      <c r="D144" s="11"/>
      <c r="E144" s="12"/>
      <c r="F144" s="11"/>
      <c r="G144" s="12"/>
    </row>
    <row r="145" spans="1:7" x14ac:dyDescent="0.25">
      <c r="A145" s="9">
        <f>'Como usar'!$B$4+INT((ROW()-2)/6)</f>
        <v>46313</v>
      </c>
      <c r="B145" s="10" t="s">
        <v>12</v>
      </c>
      <c r="C145" s="11"/>
      <c r="D145" s="11"/>
      <c r="E145" s="12"/>
      <c r="F145" s="11"/>
      <c r="G145" s="12"/>
    </row>
    <row r="146" spans="1:7" x14ac:dyDescent="0.25">
      <c r="A146" s="9">
        <f>'Como usar'!$B$4+INT((ROW()-2)/6)</f>
        <v>46314</v>
      </c>
      <c r="B146" s="10" t="s">
        <v>7</v>
      </c>
      <c r="C146" s="11"/>
      <c r="D146" s="11"/>
      <c r="E146" s="12"/>
      <c r="F146" s="11"/>
      <c r="G146" s="12"/>
    </row>
    <row r="147" spans="1:7" x14ac:dyDescent="0.25">
      <c r="A147" s="9">
        <f>'Como usar'!$B$4+INT((ROW()-2)/6)</f>
        <v>46314</v>
      </c>
      <c r="B147" s="10" t="s">
        <v>8</v>
      </c>
      <c r="C147" s="11"/>
      <c r="D147" s="11"/>
      <c r="E147" s="12"/>
      <c r="F147" s="11"/>
      <c r="G147" s="12"/>
    </row>
    <row r="148" spans="1:7" x14ac:dyDescent="0.25">
      <c r="A148" s="9">
        <f>'Como usar'!$B$4+INT((ROW()-2)/6)</f>
        <v>46314</v>
      </c>
      <c r="B148" s="10" t="s">
        <v>9</v>
      </c>
      <c r="C148" s="11"/>
      <c r="D148" s="11"/>
      <c r="E148" s="12"/>
      <c r="F148" s="11"/>
      <c r="G148" s="12"/>
    </row>
    <row r="149" spans="1:7" x14ac:dyDescent="0.25">
      <c r="A149" s="9">
        <f>'Como usar'!$B$4+INT((ROW()-2)/6)</f>
        <v>46314</v>
      </c>
      <c r="B149" s="10" t="s">
        <v>10</v>
      </c>
      <c r="C149" s="11"/>
      <c r="D149" s="11"/>
      <c r="E149" s="12"/>
      <c r="F149" s="11"/>
      <c r="G149" s="12"/>
    </row>
    <row r="150" spans="1:7" x14ac:dyDescent="0.25">
      <c r="A150" s="9">
        <f>'Como usar'!$B$4+INT((ROW()-2)/6)</f>
        <v>46314</v>
      </c>
      <c r="B150" s="10" t="s">
        <v>11</v>
      </c>
      <c r="C150" s="11"/>
      <c r="D150" s="11"/>
      <c r="E150" s="12"/>
      <c r="F150" s="11"/>
      <c r="G150" s="12"/>
    </row>
    <row r="151" spans="1:7" x14ac:dyDescent="0.25">
      <c r="A151" s="9">
        <f>'Como usar'!$B$4+INT((ROW()-2)/6)</f>
        <v>46314</v>
      </c>
      <c r="B151" s="10" t="s">
        <v>12</v>
      </c>
      <c r="C151" s="11"/>
      <c r="D151" s="11"/>
      <c r="E151" s="12"/>
      <c r="F151" s="11"/>
      <c r="G151" s="12"/>
    </row>
    <row r="152" spans="1:7" x14ac:dyDescent="0.25">
      <c r="A152" s="9">
        <f>'Como usar'!$B$4+INT((ROW()-2)/6)</f>
        <v>46315</v>
      </c>
      <c r="B152" s="10" t="s">
        <v>7</v>
      </c>
      <c r="C152" s="11"/>
      <c r="D152" s="11"/>
      <c r="E152" s="12"/>
      <c r="F152" s="11"/>
      <c r="G152" s="12"/>
    </row>
    <row r="153" spans="1:7" x14ac:dyDescent="0.25">
      <c r="A153" s="9">
        <f>'Como usar'!$B$4+INT((ROW()-2)/6)</f>
        <v>46315</v>
      </c>
      <c r="B153" s="10" t="s">
        <v>8</v>
      </c>
      <c r="C153" s="11"/>
      <c r="D153" s="11"/>
      <c r="E153" s="12"/>
      <c r="F153" s="11"/>
      <c r="G153" s="12"/>
    </row>
    <row r="154" spans="1:7" x14ac:dyDescent="0.25">
      <c r="A154" s="9">
        <f>'Como usar'!$B$4+INT((ROW()-2)/6)</f>
        <v>46315</v>
      </c>
      <c r="B154" s="10" t="s">
        <v>9</v>
      </c>
      <c r="C154" s="11"/>
      <c r="D154" s="11"/>
      <c r="E154" s="12"/>
      <c r="F154" s="11"/>
      <c r="G154" s="12"/>
    </row>
    <row r="155" spans="1:7" x14ac:dyDescent="0.25">
      <c r="A155" s="9">
        <f>'Como usar'!$B$4+INT((ROW()-2)/6)</f>
        <v>46315</v>
      </c>
      <c r="B155" s="10" t="s">
        <v>10</v>
      </c>
      <c r="C155" s="11"/>
      <c r="D155" s="11"/>
      <c r="E155" s="12"/>
      <c r="F155" s="11"/>
      <c r="G155" s="12"/>
    </row>
    <row r="156" spans="1:7" x14ac:dyDescent="0.25">
      <c r="A156" s="9">
        <f>'Como usar'!$B$4+INT((ROW()-2)/6)</f>
        <v>46315</v>
      </c>
      <c r="B156" s="10" t="s">
        <v>11</v>
      </c>
      <c r="C156" s="11"/>
      <c r="D156" s="11"/>
      <c r="E156" s="12"/>
      <c r="F156" s="11"/>
      <c r="G156" s="12"/>
    </row>
    <row r="157" spans="1:7" x14ac:dyDescent="0.25">
      <c r="A157" s="9">
        <f>'Como usar'!$B$4+INT((ROW()-2)/6)</f>
        <v>46315</v>
      </c>
      <c r="B157" s="10" t="s">
        <v>12</v>
      </c>
      <c r="C157" s="11"/>
      <c r="D157" s="11"/>
      <c r="E157" s="12"/>
      <c r="F157" s="11"/>
      <c r="G157" s="12"/>
    </row>
    <row r="158" spans="1:7" x14ac:dyDescent="0.25">
      <c r="A158" s="9">
        <f>'Como usar'!$B$4+INT((ROW()-2)/6)</f>
        <v>46316</v>
      </c>
      <c r="B158" s="10" t="s">
        <v>7</v>
      </c>
      <c r="C158" s="11"/>
      <c r="D158" s="11"/>
      <c r="E158" s="12"/>
      <c r="F158" s="11"/>
      <c r="G158" s="12"/>
    </row>
    <row r="159" spans="1:7" x14ac:dyDescent="0.25">
      <c r="A159" s="9">
        <f>'Como usar'!$B$4+INT((ROW()-2)/6)</f>
        <v>46316</v>
      </c>
      <c r="B159" s="10" t="s">
        <v>8</v>
      </c>
      <c r="C159" s="11"/>
      <c r="D159" s="11"/>
      <c r="E159" s="12"/>
      <c r="F159" s="11"/>
      <c r="G159" s="12"/>
    </row>
    <row r="160" spans="1:7" x14ac:dyDescent="0.25">
      <c r="A160" s="9">
        <f>'Como usar'!$B$4+INT((ROW()-2)/6)</f>
        <v>46316</v>
      </c>
      <c r="B160" s="10" t="s">
        <v>9</v>
      </c>
      <c r="C160" s="11"/>
      <c r="D160" s="11"/>
      <c r="E160" s="12"/>
      <c r="F160" s="11"/>
      <c r="G160" s="12"/>
    </row>
    <row r="161" spans="1:7" x14ac:dyDescent="0.25">
      <c r="A161" s="9">
        <f>'Como usar'!$B$4+INT((ROW()-2)/6)</f>
        <v>46316</v>
      </c>
      <c r="B161" s="10" t="s">
        <v>10</v>
      </c>
      <c r="C161" s="11"/>
      <c r="D161" s="11"/>
      <c r="E161" s="12"/>
      <c r="F161" s="11"/>
      <c r="G161" s="12"/>
    </row>
    <row r="162" spans="1:7" x14ac:dyDescent="0.25">
      <c r="A162" s="9">
        <f>'Como usar'!$B$4+INT((ROW()-2)/6)</f>
        <v>46316</v>
      </c>
      <c r="B162" s="10" t="s">
        <v>11</v>
      </c>
      <c r="C162" s="11"/>
      <c r="D162" s="11"/>
      <c r="E162" s="12"/>
      <c r="F162" s="11"/>
      <c r="G162" s="12"/>
    </row>
    <row r="163" spans="1:7" x14ac:dyDescent="0.25">
      <c r="A163" s="9">
        <f>'Como usar'!$B$4+INT((ROW()-2)/6)</f>
        <v>46316</v>
      </c>
      <c r="B163" s="10" t="s">
        <v>12</v>
      </c>
      <c r="C163" s="11"/>
      <c r="D163" s="11"/>
      <c r="E163" s="12"/>
      <c r="F163" s="11"/>
      <c r="G163" s="12"/>
    </row>
    <row r="164" spans="1:7" x14ac:dyDescent="0.25">
      <c r="A164" s="9">
        <f>'Como usar'!$B$4+INT((ROW()-2)/6)</f>
        <v>46317</v>
      </c>
      <c r="B164" s="10" t="s">
        <v>7</v>
      </c>
      <c r="C164" s="11"/>
      <c r="D164" s="11"/>
      <c r="E164" s="12"/>
      <c r="F164" s="11"/>
      <c r="G164" s="12"/>
    </row>
    <row r="165" spans="1:7" x14ac:dyDescent="0.25">
      <c r="A165" s="9">
        <f>'Como usar'!$B$4+INT((ROW()-2)/6)</f>
        <v>46317</v>
      </c>
      <c r="B165" s="10" t="s">
        <v>8</v>
      </c>
      <c r="C165" s="11"/>
      <c r="D165" s="11"/>
      <c r="E165" s="12"/>
      <c r="F165" s="11"/>
      <c r="G165" s="12"/>
    </row>
    <row r="166" spans="1:7" x14ac:dyDescent="0.25">
      <c r="A166" s="9">
        <f>'Como usar'!$B$4+INT((ROW()-2)/6)</f>
        <v>46317</v>
      </c>
      <c r="B166" s="10" t="s">
        <v>9</v>
      </c>
      <c r="C166" s="11"/>
      <c r="D166" s="11"/>
      <c r="E166" s="12"/>
      <c r="F166" s="11"/>
      <c r="G166" s="12"/>
    </row>
    <row r="167" spans="1:7" x14ac:dyDescent="0.25">
      <c r="A167" s="9">
        <f>'Como usar'!$B$4+INT((ROW()-2)/6)</f>
        <v>46317</v>
      </c>
      <c r="B167" s="10" t="s">
        <v>10</v>
      </c>
      <c r="C167" s="11"/>
      <c r="D167" s="11"/>
      <c r="E167" s="12"/>
      <c r="F167" s="11"/>
      <c r="G167" s="12"/>
    </row>
    <row r="168" spans="1:7" x14ac:dyDescent="0.25">
      <c r="A168" s="9">
        <f>'Como usar'!$B$4+INT((ROW()-2)/6)</f>
        <v>46317</v>
      </c>
      <c r="B168" s="10" t="s">
        <v>11</v>
      </c>
      <c r="C168" s="11"/>
      <c r="D168" s="11"/>
      <c r="E168" s="12"/>
      <c r="F168" s="11"/>
      <c r="G168" s="12"/>
    </row>
    <row r="169" spans="1:7" x14ac:dyDescent="0.25">
      <c r="A169" s="9">
        <f>'Como usar'!$B$4+INT((ROW()-2)/6)</f>
        <v>46317</v>
      </c>
      <c r="B169" s="10" t="s">
        <v>12</v>
      </c>
      <c r="C169" s="11"/>
      <c r="D169" s="11"/>
      <c r="E169" s="12"/>
      <c r="F169" s="11"/>
      <c r="G169" s="12"/>
    </row>
    <row r="170" spans="1:7" x14ac:dyDescent="0.25">
      <c r="A170" s="9">
        <f>'Como usar'!$B$4+INT((ROW()-2)/6)</f>
        <v>46318</v>
      </c>
      <c r="B170" s="10" t="s">
        <v>7</v>
      </c>
      <c r="C170" s="11"/>
      <c r="D170" s="11"/>
      <c r="E170" s="12"/>
      <c r="F170" s="11"/>
      <c r="G170" s="12"/>
    </row>
    <row r="171" spans="1:7" x14ac:dyDescent="0.25">
      <c r="A171" s="9">
        <f>'Como usar'!$B$4+INT((ROW()-2)/6)</f>
        <v>46318</v>
      </c>
      <c r="B171" s="10" t="s">
        <v>8</v>
      </c>
      <c r="C171" s="11"/>
      <c r="D171" s="11"/>
      <c r="E171" s="12"/>
      <c r="F171" s="11"/>
      <c r="G171" s="12"/>
    </row>
    <row r="172" spans="1:7" x14ac:dyDescent="0.25">
      <c r="A172" s="9">
        <f>'Como usar'!$B$4+INT((ROW()-2)/6)</f>
        <v>46318</v>
      </c>
      <c r="B172" s="10" t="s">
        <v>9</v>
      </c>
      <c r="C172" s="11"/>
      <c r="D172" s="11"/>
      <c r="E172" s="12"/>
      <c r="F172" s="11"/>
      <c r="G172" s="12"/>
    </row>
    <row r="173" spans="1:7" x14ac:dyDescent="0.25">
      <c r="A173" s="9">
        <f>'Como usar'!$B$4+INT((ROW()-2)/6)</f>
        <v>46318</v>
      </c>
      <c r="B173" s="10" t="s">
        <v>10</v>
      </c>
      <c r="C173" s="11"/>
      <c r="D173" s="11"/>
      <c r="E173" s="12"/>
      <c r="F173" s="11"/>
      <c r="G173" s="12"/>
    </row>
    <row r="174" spans="1:7" x14ac:dyDescent="0.25">
      <c r="A174" s="9">
        <f>'Como usar'!$B$4+INT((ROW()-2)/6)</f>
        <v>46318</v>
      </c>
      <c r="B174" s="10" t="s">
        <v>11</v>
      </c>
      <c r="C174" s="11"/>
      <c r="D174" s="11"/>
      <c r="E174" s="12"/>
      <c r="F174" s="11"/>
      <c r="G174" s="12"/>
    </row>
    <row r="175" spans="1:7" x14ac:dyDescent="0.25">
      <c r="A175" s="9">
        <f>'Como usar'!$B$4+INT((ROW()-2)/6)</f>
        <v>46318</v>
      </c>
      <c r="B175" s="10" t="s">
        <v>12</v>
      </c>
      <c r="C175" s="11"/>
      <c r="D175" s="11"/>
      <c r="E175" s="12"/>
      <c r="F175" s="11"/>
      <c r="G175" s="12"/>
    </row>
    <row r="176" spans="1:7" x14ac:dyDescent="0.25">
      <c r="A176" s="9">
        <f>'Como usar'!$B$4+INT((ROW()-2)/6)</f>
        <v>46319</v>
      </c>
      <c r="B176" s="10" t="s">
        <v>7</v>
      </c>
      <c r="C176" s="11"/>
      <c r="D176" s="11"/>
      <c r="E176" s="12"/>
      <c r="F176" s="11"/>
      <c r="G176" s="12"/>
    </row>
    <row r="177" spans="1:7" x14ac:dyDescent="0.25">
      <c r="A177" s="9">
        <f>'Como usar'!$B$4+INT((ROW()-2)/6)</f>
        <v>46319</v>
      </c>
      <c r="B177" s="10" t="s">
        <v>8</v>
      </c>
      <c r="C177" s="11"/>
      <c r="D177" s="11"/>
      <c r="E177" s="12"/>
      <c r="F177" s="11"/>
      <c r="G177" s="12"/>
    </row>
    <row r="178" spans="1:7" x14ac:dyDescent="0.25">
      <c r="A178" s="9">
        <f>'Como usar'!$B$4+INT((ROW()-2)/6)</f>
        <v>46319</v>
      </c>
      <c r="B178" s="10" t="s">
        <v>9</v>
      </c>
      <c r="C178" s="11"/>
      <c r="D178" s="11"/>
      <c r="E178" s="12"/>
      <c r="F178" s="11"/>
      <c r="G178" s="12"/>
    </row>
    <row r="179" spans="1:7" x14ac:dyDescent="0.25">
      <c r="A179" s="9">
        <f>'Como usar'!$B$4+INT((ROW()-2)/6)</f>
        <v>46319</v>
      </c>
      <c r="B179" s="10" t="s">
        <v>10</v>
      </c>
      <c r="C179" s="11"/>
      <c r="D179" s="11"/>
      <c r="E179" s="12"/>
      <c r="F179" s="11"/>
      <c r="G179" s="12"/>
    </row>
    <row r="180" spans="1:7" x14ac:dyDescent="0.25">
      <c r="A180" s="9">
        <f>'Como usar'!$B$4+INT((ROW()-2)/6)</f>
        <v>46319</v>
      </c>
      <c r="B180" s="10" t="s">
        <v>11</v>
      </c>
      <c r="C180" s="11"/>
      <c r="D180" s="11"/>
      <c r="E180" s="12"/>
      <c r="F180" s="11"/>
      <c r="G180" s="12"/>
    </row>
    <row r="181" spans="1:7" x14ac:dyDescent="0.25">
      <c r="A181" s="9">
        <f>'Como usar'!$B$4+INT((ROW()-2)/6)</f>
        <v>46319</v>
      </c>
      <c r="B181" s="10" t="s">
        <v>12</v>
      </c>
      <c r="C181" s="11"/>
      <c r="D181" s="11"/>
      <c r="E181" s="12"/>
      <c r="F181" s="11"/>
      <c r="G181" s="12"/>
    </row>
    <row r="182" spans="1:7" x14ac:dyDescent="0.25">
      <c r="A182" s="9">
        <f>'Como usar'!$B$4+INT((ROW()-2)/6)</f>
        <v>46320</v>
      </c>
      <c r="B182" s="10" t="s">
        <v>7</v>
      </c>
      <c r="C182" s="11"/>
      <c r="D182" s="11"/>
      <c r="E182" s="12"/>
      <c r="F182" s="11"/>
      <c r="G182" s="12"/>
    </row>
    <row r="183" spans="1:7" x14ac:dyDescent="0.25">
      <c r="A183" s="9">
        <f>'Como usar'!$B$4+INT((ROW()-2)/6)</f>
        <v>46320</v>
      </c>
      <c r="B183" s="10" t="s">
        <v>8</v>
      </c>
      <c r="C183" s="11"/>
      <c r="D183" s="11"/>
      <c r="E183" s="12"/>
      <c r="F183" s="11"/>
      <c r="G183" s="12"/>
    </row>
    <row r="184" spans="1:7" x14ac:dyDescent="0.25">
      <c r="A184" s="9">
        <f>'Como usar'!$B$4+INT((ROW()-2)/6)</f>
        <v>46320</v>
      </c>
      <c r="B184" s="10" t="s">
        <v>9</v>
      </c>
      <c r="C184" s="11"/>
      <c r="D184" s="11"/>
      <c r="E184" s="12"/>
      <c r="F184" s="11"/>
      <c r="G184" s="12"/>
    </row>
    <row r="185" spans="1:7" x14ac:dyDescent="0.25">
      <c r="A185" s="9">
        <f>'Como usar'!$B$4+INT((ROW()-2)/6)</f>
        <v>46320</v>
      </c>
      <c r="B185" s="10" t="s">
        <v>10</v>
      </c>
      <c r="C185" s="11"/>
      <c r="D185" s="11"/>
      <c r="E185" s="12"/>
      <c r="F185" s="11"/>
      <c r="G185" s="12"/>
    </row>
    <row r="186" spans="1:7" x14ac:dyDescent="0.25">
      <c r="A186" s="9">
        <f>'Como usar'!$B$4+INT((ROW()-2)/6)</f>
        <v>46320</v>
      </c>
      <c r="B186" s="10" t="s">
        <v>11</v>
      </c>
      <c r="C186" s="11"/>
      <c r="D186" s="11"/>
      <c r="E186" s="12"/>
      <c r="F186" s="11"/>
      <c r="G186" s="12"/>
    </row>
    <row r="187" spans="1:7" x14ac:dyDescent="0.25">
      <c r="A187" s="9">
        <f>'Como usar'!$B$4+INT((ROW()-2)/6)</f>
        <v>46320</v>
      </c>
      <c r="B187" s="10" t="s">
        <v>12</v>
      </c>
      <c r="C187" s="11"/>
      <c r="D187" s="11"/>
      <c r="E187" s="12"/>
      <c r="F187" s="11"/>
      <c r="G187" s="12"/>
    </row>
    <row r="188" spans="1:7" x14ac:dyDescent="0.25">
      <c r="A188" s="9">
        <f>'Como usar'!$B$4+INT((ROW()-2)/6)</f>
        <v>46321</v>
      </c>
      <c r="B188" s="10" t="s">
        <v>7</v>
      </c>
      <c r="C188" s="11"/>
      <c r="D188" s="11"/>
      <c r="E188" s="12"/>
      <c r="F188" s="11"/>
      <c r="G188" s="12"/>
    </row>
    <row r="189" spans="1:7" x14ac:dyDescent="0.25">
      <c r="A189" s="9">
        <f>'Como usar'!$B$4+INT((ROW()-2)/6)</f>
        <v>46321</v>
      </c>
      <c r="B189" s="10" t="s">
        <v>8</v>
      </c>
      <c r="C189" s="11"/>
      <c r="D189" s="11"/>
      <c r="E189" s="12"/>
      <c r="F189" s="11"/>
      <c r="G189" s="12"/>
    </row>
    <row r="190" spans="1:7" x14ac:dyDescent="0.25">
      <c r="A190" s="9">
        <f>'Como usar'!$B$4+INT((ROW()-2)/6)</f>
        <v>46321</v>
      </c>
      <c r="B190" s="10" t="s">
        <v>9</v>
      </c>
      <c r="C190" s="11"/>
      <c r="D190" s="11"/>
      <c r="E190" s="12"/>
      <c r="F190" s="11"/>
      <c r="G190" s="12"/>
    </row>
    <row r="191" spans="1:7" x14ac:dyDescent="0.25">
      <c r="A191" s="9">
        <f>'Como usar'!$B$4+INT((ROW()-2)/6)</f>
        <v>46321</v>
      </c>
      <c r="B191" s="10" t="s">
        <v>10</v>
      </c>
      <c r="C191" s="11"/>
      <c r="D191" s="11"/>
      <c r="E191" s="12"/>
      <c r="F191" s="11"/>
      <c r="G191" s="12"/>
    </row>
    <row r="192" spans="1:7" x14ac:dyDescent="0.25">
      <c r="A192" s="9">
        <f>'Como usar'!$B$4+INT((ROW()-2)/6)</f>
        <v>46321</v>
      </c>
      <c r="B192" s="10" t="s">
        <v>11</v>
      </c>
      <c r="C192" s="11"/>
      <c r="D192" s="11"/>
      <c r="E192" s="12"/>
      <c r="F192" s="11"/>
      <c r="G192" s="12"/>
    </row>
    <row r="193" spans="1:7" x14ac:dyDescent="0.25">
      <c r="A193" s="9">
        <f>'Como usar'!$B$4+INT((ROW()-2)/6)</f>
        <v>46321</v>
      </c>
      <c r="B193" s="10" t="s">
        <v>12</v>
      </c>
      <c r="C193" s="11"/>
      <c r="D193" s="11"/>
      <c r="E193" s="12"/>
      <c r="F193" s="11"/>
      <c r="G193" s="12"/>
    </row>
    <row r="194" spans="1:7" x14ac:dyDescent="0.25">
      <c r="A194" s="9">
        <f>'Como usar'!$B$4+INT((ROW()-2)/6)</f>
        <v>46322</v>
      </c>
      <c r="B194" s="10" t="s">
        <v>7</v>
      </c>
      <c r="C194" s="11"/>
      <c r="D194" s="11"/>
      <c r="E194" s="12"/>
      <c r="F194" s="11"/>
      <c r="G194" s="12"/>
    </row>
    <row r="195" spans="1:7" x14ac:dyDescent="0.25">
      <c r="A195" s="9">
        <f>'Como usar'!$B$4+INT((ROW()-2)/6)</f>
        <v>46322</v>
      </c>
      <c r="B195" s="10" t="s">
        <v>8</v>
      </c>
      <c r="C195" s="11"/>
      <c r="D195" s="11"/>
      <c r="E195" s="12"/>
      <c r="F195" s="11"/>
      <c r="G195" s="12"/>
    </row>
    <row r="196" spans="1:7" x14ac:dyDescent="0.25">
      <c r="A196" s="9">
        <f>'Como usar'!$B$4+INT((ROW()-2)/6)</f>
        <v>46322</v>
      </c>
      <c r="B196" s="10" t="s">
        <v>9</v>
      </c>
      <c r="C196" s="11"/>
      <c r="D196" s="11"/>
      <c r="E196" s="12"/>
      <c r="F196" s="11"/>
      <c r="G196" s="12"/>
    </row>
    <row r="197" spans="1:7" x14ac:dyDescent="0.25">
      <c r="A197" s="9">
        <f>'Como usar'!$B$4+INT((ROW()-2)/6)</f>
        <v>46322</v>
      </c>
      <c r="B197" s="10" t="s">
        <v>10</v>
      </c>
      <c r="C197" s="11"/>
      <c r="D197" s="11"/>
      <c r="E197" s="12"/>
      <c r="F197" s="11"/>
      <c r="G197" s="12"/>
    </row>
    <row r="198" spans="1:7" x14ac:dyDescent="0.25">
      <c r="A198" s="9">
        <f>'Como usar'!$B$4+INT((ROW()-2)/6)</f>
        <v>46322</v>
      </c>
      <c r="B198" s="10" t="s">
        <v>11</v>
      </c>
      <c r="C198" s="11"/>
      <c r="D198" s="11"/>
      <c r="E198" s="12"/>
      <c r="F198" s="11"/>
      <c r="G198" s="12"/>
    </row>
    <row r="199" spans="1:7" x14ac:dyDescent="0.25">
      <c r="A199" s="9">
        <f>'Como usar'!$B$4+INT((ROW()-2)/6)</f>
        <v>46322</v>
      </c>
      <c r="B199" s="10" t="s">
        <v>12</v>
      </c>
      <c r="C199" s="11"/>
      <c r="D199" s="11"/>
      <c r="E199" s="12"/>
      <c r="F199" s="11"/>
      <c r="G199" s="12"/>
    </row>
    <row r="200" spans="1:7" x14ac:dyDescent="0.25">
      <c r="A200" s="9">
        <f>'Como usar'!$B$4+INT((ROW()-2)/6)</f>
        <v>46323</v>
      </c>
      <c r="B200" s="10" t="s">
        <v>7</v>
      </c>
      <c r="C200" s="11"/>
      <c r="D200" s="11"/>
      <c r="E200" s="12"/>
      <c r="F200" s="11"/>
      <c r="G200" s="12"/>
    </row>
    <row r="201" spans="1:7" x14ac:dyDescent="0.25">
      <c r="A201" s="9">
        <f>'Como usar'!$B$4+INT((ROW()-2)/6)</f>
        <v>46323</v>
      </c>
      <c r="B201" s="10" t="s">
        <v>8</v>
      </c>
      <c r="C201" s="11"/>
      <c r="D201" s="11"/>
      <c r="E201" s="12"/>
      <c r="F201" s="11"/>
      <c r="G201" s="12"/>
    </row>
    <row r="202" spans="1:7" x14ac:dyDescent="0.25">
      <c r="A202" s="9">
        <f>'Como usar'!$B$4+INT((ROW()-2)/6)</f>
        <v>46323</v>
      </c>
      <c r="B202" s="10" t="s">
        <v>9</v>
      </c>
      <c r="C202" s="11"/>
      <c r="D202" s="11"/>
      <c r="E202" s="12"/>
      <c r="F202" s="11"/>
      <c r="G202" s="12"/>
    </row>
    <row r="203" spans="1:7" x14ac:dyDescent="0.25">
      <c r="A203" s="9">
        <f>'Como usar'!$B$4+INT((ROW()-2)/6)</f>
        <v>46323</v>
      </c>
      <c r="B203" s="10" t="s">
        <v>10</v>
      </c>
      <c r="C203" s="11"/>
      <c r="D203" s="11"/>
      <c r="E203" s="12"/>
      <c r="F203" s="11"/>
      <c r="G203" s="12"/>
    </row>
    <row r="204" spans="1:7" x14ac:dyDescent="0.25">
      <c r="A204" s="9">
        <f>'Como usar'!$B$4+INT((ROW()-2)/6)</f>
        <v>46323</v>
      </c>
      <c r="B204" s="10" t="s">
        <v>11</v>
      </c>
      <c r="C204" s="11"/>
      <c r="D204" s="11"/>
      <c r="E204" s="12"/>
      <c r="F204" s="11"/>
      <c r="G204" s="12"/>
    </row>
    <row r="205" spans="1:7" x14ac:dyDescent="0.25">
      <c r="A205" s="9">
        <f>'Como usar'!$B$4+INT((ROW()-2)/6)</f>
        <v>46323</v>
      </c>
      <c r="B205" s="10" t="s">
        <v>12</v>
      </c>
      <c r="C205" s="11"/>
      <c r="D205" s="11"/>
      <c r="E205" s="12"/>
      <c r="F205" s="11"/>
      <c r="G205" s="12"/>
    </row>
    <row r="206" spans="1:7" x14ac:dyDescent="0.25">
      <c r="A206" s="9">
        <f>'Como usar'!$B$4+INT((ROW()-2)/6)</f>
        <v>46324</v>
      </c>
      <c r="B206" s="10" t="s">
        <v>7</v>
      </c>
      <c r="C206" s="11"/>
      <c r="D206" s="11"/>
      <c r="E206" s="12"/>
      <c r="F206" s="11"/>
      <c r="G206" s="12"/>
    </row>
    <row r="207" spans="1:7" x14ac:dyDescent="0.25">
      <c r="A207" s="9">
        <f>'Como usar'!$B$4+INT((ROW()-2)/6)</f>
        <v>46324</v>
      </c>
      <c r="B207" s="10" t="s">
        <v>8</v>
      </c>
      <c r="C207" s="11"/>
      <c r="D207" s="11"/>
      <c r="E207" s="12"/>
      <c r="F207" s="11"/>
      <c r="G207" s="12"/>
    </row>
    <row r="208" spans="1:7" x14ac:dyDescent="0.25">
      <c r="A208" s="9">
        <f>'Como usar'!$B$4+INT((ROW()-2)/6)</f>
        <v>46324</v>
      </c>
      <c r="B208" s="10" t="s">
        <v>9</v>
      </c>
      <c r="C208" s="11"/>
      <c r="D208" s="11"/>
      <c r="E208" s="12"/>
      <c r="F208" s="11"/>
      <c r="G208" s="12"/>
    </row>
    <row r="209" spans="1:7" x14ac:dyDescent="0.25">
      <c r="A209" s="9">
        <f>'Como usar'!$B$4+INT((ROW()-2)/6)</f>
        <v>46324</v>
      </c>
      <c r="B209" s="10" t="s">
        <v>10</v>
      </c>
      <c r="C209" s="11"/>
      <c r="D209" s="11"/>
      <c r="E209" s="12"/>
      <c r="F209" s="11"/>
      <c r="G209" s="12"/>
    </row>
    <row r="210" spans="1:7" x14ac:dyDescent="0.25">
      <c r="A210" s="9">
        <f>'Como usar'!$B$4+INT((ROW()-2)/6)</f>
        <v>46324</v>
      </c>
      <c r="B210" s="10" t="s">
        <v>11</v>
      </c>
      <c r="C210" s="11"/>
      <c r="D210" s="11"/>
      <c r="E210" s="12"/>
      <c r="F210" s="11"/>
      <c r="G210" s="12"/>
    </row>
    <row r="211" spans="1:7" x14ac:dyDescent="0.25">
      <c r="A211" s="9">
        <f>'Como usar'!$B$4+INT((ROW()-2)/6)</f>
        <v>46324</v>
      </c>
      <c r="B211" s="10" t="s">
        <v>12</v>
      </c>
      <c r="C211" s="11"/>
      <c r="D211" s="11"/>
      <c r="E211" s="12"/>
      <c r="F211" s="11"/>
      <c r="G211" s="12"/>
    </row>
    <row r="212" spans="1:7" x14ac:dyDescent="0.25">
      <c r="A212" s="9">
        <f>'Como usar'!$B$4+INT((ROW()-2)/6)</f>
        <v>46325</v>
      </c>
      <c r="B212" s="10" t="s">
        <v>7</v>
      </c>
      <c r="C212" s="11"/>
      <c r="D212" s="11"/>
      <c r="E212" s="12"/>
      <c r="F212" s="11"/>
      <c r="G212" s="12"/>
    </row>
    <row r="213" spans="1:7" x14ac:dyDescent="0.25">
      <c r="A213" s="9">
        <f>'Como usar'!$B$4+INT((ROW()-2)/6)</f>
        <v>46325</v>
      </c>
      <c r="B213" s="10" t="s">
        <v>8</v>
      </c>
      <c r="C213" s="11"/>
      <c r="D213" s="11"/>
      <c r="E213" s="12"/>
      <c r="F213" s="11"/>
      <c r="G213" s="12"/>
    </row>
    <row r="214" spans="1:7" x14ac:dyDescent="0.25">
      <c r="A214" s="9">
        <f>'Como usar'!$B$4+INT((ROW()-2)/6)</f>
        <v>46325</v>
      </c>
      <c r="B214" s="10" t="s">
        <v>9</v>
      </c>
      <c r="C214" s="11"/>
      <c r="D214" s="11"/>
      <c r="E214" s="12"/>
      <c r="F214" s="11"/>
      <c r="G214" s="12"/>
    </row>
    <row r="215" spans="1:7" x14ac:dyDescent="0.25">
      <c r="A215" s="9">
        <f>'Como usar'!$B$4+INT((ROW()-2)/6)</f>
        <v>46325</v>
      </c>
      <c r="B215" s="10" t="s">
        <v>10</v>
      </c>
      <c r="C215" s="11"/>
      <c r="D215" s="11"/>
      <c r="E215" s="12"/>
      <c r="F215" s="11"/>
      <c r="G215" s="12"/>
    </row>
    <row r="216" spans="1:7" x14ac:dyDescent="0.25">
      <c r="A216" s="9">
        <f>'Como usar'!$B$4+INT((ROW()-2)/6)</f>
        <v>46325</v>
      </c>
      <c r="B216" s="10" t="s">
        <v>11</v>
      </c>
      <c r="C216" s="11"/>
      <c r="D216" s="11"/>
      <c r="E216" s="12"/>
      <c r="F216" s="11"/>
      <c r="G216" s="12"/>
    </row>
    <row r="217" spans="1:7" x14ac:dyDescent="0.25">
      <c r="A217" s="9">
        <f>'Como usar'!$B$4+INT((ROW()-2)/6)</f>
        <v>46325</v>
      </c>
      <c r="B217" s="10" t="s">
        <v>12</v>
      </c>
      <c r="C217" s="11"/>
      <c r="D217" s="11"/>
      <c r="E217" s="12"/>
      <c r="F217" s="11"/>
      <c r="G217" s="12"/>
    </row>
    <row r="218" spans="1:7" x14ac:dyDescent="0.25">
      <c r="A218" s="9">
        <f>'Como usar'!$B$4+INT((ROW()-2)/6)</f>
        <v>46326</v>
      </c>
      <c r="B218" s="10" t="s">
        <v>7</v>
      </c>
      <c r="C218" s="11"/>
      <c r="D218" s="11"/>
      <c r="E218" s="12"/>
      <c r="F218" s="11"/>
      <c r="G218" s="12"/>
    </row>
    <row r="219" spans="1:7" x14ac:dyDescent="0.25">
      <c r="A219" s="9">
        <f>'Como usar'!$B$4+INT((ROW()-2)/6)</f>
        <v>46326</v>
      </c>
      <c r="B219" s="10" t="s">
        <v>8</v>
      </c>
      <c r="C219" s="11"/>
      <c r="D219" s="11"/>
      <c r="E219" s="12"/>
      <c r="F219" s="11"/>
      <c r="G219" s="12"/>
    </row>
    <row r="220" spans="1:7" x14ac:dyDescent="0.25">
      <c r="A220" s="9">
        <f>'Como usar'!$B$4+INT((ROW()-2)/6)</f>
        <v>46326</v>
      </c>
      <c r="B220" s="10" t="s">
        <v>9</v>
      </c>
      <c r="C220" s="11"/>
      <c r="D220" s="11"/>
      <c r="E220" s="12"/>
      <c r="F220" s="11"/>
      <c r="G220" s="12"/>
    </row>
    <row r="221" spans="1:7" x14ac:dyDescent="0.25">
      <c r="A221" s="9">
        <f>'Como usar'!$B$4+INT((ROW()-2)/6)</f>
        <v>46326</v>
      </c>
      <c r="B221" s="10" t="s">
        <v>10</v>
      </c>
      <c r="C221" s="11"/>
      <c r="D221" s="11"/>
      <c r="E221" s="12"/>
      <c r="F221" s="11"/>
      <c r="G221" s="12"/>
    </row>
    <row r="222" spans="1:7" x14ac:dyDescent="0.25">
      <c r="A222" s="9">
        <f>'Como usar'!$B$4+INT((ROW()-2)/6)</f>
        <v>46326</v>
      </c>
      <c r="B222" s="10" t="s">
        <v>11</v>
      </c>
      <c r="C222" s="11"/>
      <c r="D222" s="11"/>
      <c r="E222" s="12"/>
      <c r="F222" s="11"/>
      <c r="G222" s="12"/>
    </row>
    <row r="223" spans="1:7" x14ac:dyDescent="0.25">
      <c r="A223" s="9">
        <f>'Como usar'!$B$4+INT((ROW()-2)/6)</f>
        <v>46326</v>
      </c>
      <c r="B223" s="10" t="s">
        <v>12</v>
      </c>
      <c r="C223" s="11"/>
      <c r="D223" s="11"/>
      <c r="E223" s="12"/>
      <c r="F223" s="11"/>
      <c r="G223" s="12"/>
    </row>
    <row r="224" spans="1:7" x14ac:dyDescent="0.25">
      <c r="A224" s="9">
        <f>'Como usar'!$B$4+INT((ROW()-2)/6)</f>
        <v>46327</v>
      </c>
      <c r="B224" s="10" t="s">
        <v>7</v>
      </c>
      <c r="C224" s="11"/>
      <c r="D224" s="11"/>
      <c r="E224" s="12"/>
      <c r="F224" s="11"/>
      <c r="G224" s="12"/>
    </row>
    <row r="225" spans="1:7" x14ac:dyDescent="0.25">
      <c r="A225" s="9">
        <f>'Como usar'!$B$4+INT((ROW()-2)/6)</f>
        <v>46327</v>
      </c>
      <c r="B225" s="10" t="s">
        <v>8</v>
      </c>
      <c r="C225" s="11"/>
      <c r="D225" s="11"/>
      <c r="E225" s="12"/>
      <c r="F225" s="11"/>
      <c r="G225" s="12"/>
    </row>
    <row r="226" spans="1:7" x14ac:dyDescent="0.25">
      <c r="A226" s="9">
        <f>'Como usar'!$B$4+INT((ROW()-2)/6)</f>
        <v>46327</v>
      </c>
      <c r="B226" s="10" t="s">
        <v>9</v>
      </c>
      <c r="C226" s="11"/>
      <c r="D226" s="11"/>
      <c r="E226" s="12"/>
      <c r="F226" s="11"/>
      <c r="G226" s="12"/>
    </row>
    <row r="227" spans="1:7" x14ac:dyDescent="0.25">
      <c r="A227" s="9">
        <f>'Como usar'!$B$4+INT((ROW()-2)/6)</f>
        <v>46327</v>
      </c>
      <c r="B227" s="10" t="s">
        <v>10</v>
      </c>
      <c r="C227" s="11"/>
      <c r="D227" s="11"/>
      <c r="E227" s="12"/>
      <c r="F227" s="11"/>
      <c r="G227" s="12"/>
    </row>
    <row r="228" spans="1:7" x14ac:dyDescent="0.25">
      <c r="A228" s="9">
        <f>'Como usar'!$B$4+INT((ROW()-2)/6)</f>
        <v>46327</v>
      </c>
      <c r="B228" s="10" t="s">
        <v>11</v>
      </c>
      <c r="C228" s="11"/>
      <c r="D228" s="11"/>
      <c r="E228" s="12"/>
      <c r="F228" s="11"/>
      <c r="G228" s="12"/>
    </row>
    <row r="229" spans="1:7" x14ac:dyDescent="0.25">
      <c r="A229" s="9">
        <f>'Como usar'!$B$4+INT((ROW()-2)/6)</f>
        <v>46327</v>
      </c>
      <c r="B229" s="10" t="s">
        <v>12</v>
      </c>
      <c r="C229" s="11"/>
      <c r="D229" s="11"/>
      <c r="E229" s="12"/>
      <c r="F229" s="11"/>
      <c r="G229" s="12"/>
    </row>
    <row r="230" spans="1:7" x14ac:dyDescent="0.25">
      <c r="A230" s="9">
        <f>'Como usar'!$B$4+INT((ROW()-2)/6)</f>
        <v>46328</v>
      </c>
      <c r="B230" s="10" t="s">
        <v>7</v>
      </c>
      <c r="C230" s="11"/>
      <c r="D230" s="11"/>
      <c r="E230" s="12"/>
      <c r="F230" s="11"/>
      <c r="G230" s="12"/>
    </row>
    <row r="231" spans="1:7" x14ac:dyDescent="0.25">
      <c r="A231" s="9">
        <f>'Como usar'!$B$4+INT((ROW()-2)/6)</f>
        <v>46328</v>
      </c>
      <c r="B231" s="10" t="s">
        <v>8</v>
      </c>
      <c r="C231" s="11"/>
      <c r="D231" s="11"/>
      <c r="E231" s="12"/>
      <c r="F231" s="11"/>
      <c r="G231" s="12"/>
    </row>
    <row r="232" spans="1:7" x14ac:dyDescent="0.25">
      <c r="A232" s="9">
        <f>'Como usar'!$B$4+INT((ROW()-2)/6)</f>
        <v>46328</v>
      </c>
      <c r="B232" s="10" t="s">
        <v>9</v>
      </c>
      <c r="C232" s="11"/>
      <c r="D232" s="11"/>
      <c r="E232" s="12"/>
      <c r="F232" s="11"/>
      <c r="G232" s="12"/>
    </row>
    <row r="233" spans="1:7" x14ac:dyDescent="0.25">
      <c r="A233" s="9">
        <f>'Como usar'!$B$4+INT((ROW()-2)/6)</f>
        <v>46328</v>
      </c>
      <c r="B233" s="10" t="s">
        <v>10</v>
      </c>
      <c r="C233" s="11"/>
      <c r="D233" s="11"/>
      <c r="E233" s="12"/>
      <c r="F233" s="11"/>
      <c r="G233" s="12"/>
    </row>
    <row r="234" spans="1:7" x14ac:dyDescent="0.25">
      <c r="A234" s="9">
        <f>'Como usar'!$B$4+INT((ROW()-2)/6)</f>
        <v>46328</v>
      </c>
      <c r="B234" s="10" t="s">
        <v>11</v>
      </c>
      <c r="C234" s="11"/>
      <c r="D234" s="11"/>
      <c r="E234" s="12"/>
      <c r="F234" s="11"/>
      <c r="G234" s="12"/>
    </row>
    <row r="235" spans="1:7" x14ac:dyDescent="0.25">
      <c r="A235" s="9">
        <f>'Como usar'!$B$4+INT((ROW()-2)/6)</f>
        <v>46328</v>
      </c>
      <c r="B235" s="10" t="s">
        <v>12</v>
      </c>
      <c r="C235" s="11"/>
      <c r="D235" s="11"/>
      <c r="E235" s="12"/>
      <c r="F235" s="11"/>
      <c r="G235" s="12"/>
    </row>
    <row r="236" spans="1:7" x14ac:dyDescent="0.25">
      <c r="A236" s="9">
        <f>'Como usar'!$B$4+INT((ROW()-2)/6)</f>
        <v>46329</v>
      </c>
      <c r="B236" s="10" t="s">
        <v>7</v>
      </c>
      <c r="C236" s="11"/>
      <c r="D236" s="11"/>
      <c r="E236" s="12"/>
      <c r="F236" s="11"/>
      <c r="G236" s="12"/>
    </row>
    <row r="237" spans="1:7" x14ac:dyDescent="0.25">
      <c r="A237" s="9">
        <f>'Como usar'!$B$4+INT((ROW()-2)/6)</f>
        <v>46329</v>
      </c>
      <c r="B237" s="10" t="s">
        <v>8</v>
      </c>
      <c r="C237" s="11"/>
      <c r="D237" s="11"/>
      <c r="E237" s="12"/>
      <c r="F237" s="11"/>
      <c r="G237" s="12"/>
    </row>
    <row r="238" spans="1:7" x14ac:dyDescent="0.25">
      <c r="A238" s="9">
        <f>'Como usar'!$B$4+INT((ROW()-2)/6)</f>
        <v>46329</v>
      </c>
      <c r="B238" s="10" t="s">
        <v>9</v>
      </c>
      <c r="C238" s="11"/>
      <c r="D238" s="11"/>
      <c r="E238" s="12"/>
      <c r="F238" s="11"/>
      <c r="G238" s="12"/>
    </row>
    <row r="239" spans="1:7" x14ac:dyDescent="0.25">
      <c r="A239" s="9">
        <f>'Como usar'!$B$4+INT((ROW()-2)/6)</f>
        <v>46329</v>
      </c>
      <c r="B239" s="10" t="s">
        <v>10</v>
      </c>
      <c r="C239" s="11"/>
      <c r="D239" s="11"/>
      <c r="E239" s="12"/>
      <c r="F239" s="11"/>
      <c r="G239" s="12"/>
    </row>
    <row r="240" spans="1:7" x14ac:dyDescent="0.25">
      <c r="A240" s="9">
        <f>'Como usar'!$B$4+INT((ROW()-2)/6)</f>
        <v>46329</v>
      </c>
      <c r="B240" s="10" t="s">
        <v>11</v>
      </c>
      <c r="C240" s="11"/>
      <c r="D240" s="11"/>
      <c r="E240" s="12"/>
      <c r="F240" s="11"/>
      <c r="G240" s="12"/>
    </row>
    <row r="241" spans="1:7" x14ac:dyDescent="0.25">
      <c r="A241" s="9">
        <f>'Como usar'!$B$4+INT((ROW()-2)/6)</f>
        <v>46329</v>
      </c>
      <c r="B241" s="10" t="s">
        <v>12</v>
      </c>
      <c r="C241" s="11"/>
      <c r="D241" s="11"/>
      <c r="E241" s="12"/>
      <c r="F241" s="11"/>
      <c r="G241" s="12"/>
    </row>
    <row r="242" spans="1:7" x14ac:dyDescent="0.25">
      <c r="A242" s="9">
        <f>'Como usar'!$B$4+INT((ROW()-2)/6)</f>
        <v>46330</v>
      </c>
      <c r="B242" s="10" t="s">
        <v>7</v>
      </c>
      <c r="C242" s="11"/>
      <c r="D242" s="11"/>
      <c r="E242" s="12"/>
      <c r="F242" s="11"/>
      <c r="G242" s="12"/>
    </row>
    <row r="243" spans="1:7" x14ac:dyDescent="0.25">
      <c r="A243" s="9">
        <f>'Como usar'!$B$4+INT((ROW()-2)/6)</f>
        <v>46330</v>
      </c>
      <c r="B243" s="10" t="s">
        <v>8</v>
      </c>
      <c r="C243" s="11"/>
      <c r="D243" s="11"/>
      <c r="E243" s="12"/>
      <c r="F243" s="11"/>
      <c r="G243" s="12"/>
    </row>
    <row r="244" spans="1:7" x14ac:dyDescent="0.25">
      <c r="A244" s="9">
        <f>'Como usar'!$B$4+INT((ROW()-2)/6)</f>
        <v>46330</v>
      </c>
      <c r="B244" s="10" t="s">
        <v>9</v>
      </c>
      <c r="C244" s="11"/>
      <c r="D244" s="11"/>
      <c r="E244" s="12"/>
      <c r="F244" s="11"/>
      <c r="G244" s="12"/>
    </row>
    <row r="245" spans="1:7" x14ac:dyDescent="0.25">
      <c r="A245" s="9">
        <f>'Como usar'!$B$4+INT((ROW()-2)/6)</f>
        <v>46330</v>
      </c>
      <c r="B245" s="10" t="s">
        <v>10</v>
      </c>
      <c r="C245" s="11"/>
      <c r="D245" s="11"/>
      <c r="E245" s="12"/>
      <c r="F245" s="11"/>
      <c r="G245" s="12"/>
    </row>
    <row r="246" spans="1:7" x14ac:dyDescent="0.25">
      <c r="A246" s="9">
        <f>'Como usar'!$B$4+INT((ROW()-2)/6)</f>
        <v>46330</v>
      </c>
      <c r="B246" s="10" t="s">
        <v>11</v>
      </c>
      <c r="C246" s="11"/>
      <c r="D246" s="11"/>
      <c r="E246" s="12"/>
      <c r="F246" s="11"/>
      <c r="G246" s="12"/>
    </row>
    <row r="247" spans="1:7" x14ac:dyDescent="0.25">
      <c r="A247" s="9">
        <f>'Como usar'!$B$4+INT((ROW()-2)/6)</f>
        <v>46330</v>
      </c>
      <c r="B247" s="10" t="s">
        <v>12</v>
      </c>
      <c r="C247" s="11"/>
      <c r="D247" s="11"/>
      <c r="E247" s="12"/>
      <c r="F247" s="11"/>
      <c r="G247" s="12"/>
    </row>
    <row r="248" spans="1:7" x14ac:dyDescent="0.25">
      <c r="A248" s="9">
        <f>'Como usar'!$B$4+INT((ROW()-2)/6)</f>
        <v>46331</v>
      </c>
      <c r="B248" s="10" t="s">
        <v>7</v>
      </c>
      <c r="C248" s="11"/>
      <c r="D248" s="11"/>
      <c r="E248" s="12"/>
      <c r="F248" s="11"/>
      <c r="G248" s="12"/>
    </row>
    <row r="249" spans="1:7" x14ac:dyDescent="0.25">
      <c r="A249" s="9">
        <f>'Como usar'!$B$4+INT((ROW()-2)/6)</f>
        <v>46331</v>
      </c>
      <c r="B249" s="10" t="s">
        <v>8</v>
      </c>
      <c r="C249" s="11"/>
      <c r="D249" s="11"/>
      <c r="E249" s="12"/>
      <c r="F249" s="11"/>
      <c r="G249" s="12"/>
    </row>
    <row r="250" spans="1:7" x14ac:dyDescent="0.25">
      <c r="A250" s="9">
        <f>'Como usar'!$B$4+INT((ROW()-2)/6)</f>
        <v>46331</v>
      </c>
      <c r="B250" s="10" t="s">
        <v>9</v>
      </c>
      <c r="C250" s="11"/>
      <c r="D250" s="11"/>
      <c r="E250" s="12"/>
      <c r="F250" s="11"/>
      <c r="G250" s="12"/>
    </row>
    <row r="251" spans="1:7" x14ac:dyDescent="0.25">
      <c r="A251" s="9">
        <f>'Como usar'!$B$4+INT((ROW()-2)/6)</f>
        <v>46331</v>
      </c>
      <c r="B251" s="10" t="s">
        <v>10</v>
      </c>
      <c r="C251" s="11"/>
      <c r="D251" s="11"/>
      <c r="E251" s="12"/>
      <c r="F251" s="11"/>
      <c r="G251" s="12"/>
    </row>
    <row r="252" spans="1:7" x14ac:dyDescent="0.25">
      <c r="A252" s="9">
        <f>'Como usar'!$B$4+INT((ROW()-2)/6)</f>
        <v>46331</v>
      </c>
      <c r="B252" s="10" t="s">
        <v>11</v>
      </c>
      <c r="C252" s="11"/>
      <c r="D252" s="11"/>
      <c r="E252" s="12"/>
      <c r="F252" s="11"/>
      <c r="G252" s="12"/>
    </row>
    <row r="253" spans="1:7" x14ac:dyDescent="0.25">
      <c r="A253" s="9">
        <f>'Como usar'!$B$4+INT((ROW()-2)/6)</f>
        <v>46331</v>
      </c>
      <c r="B253" s="10" t="s">
        <v>12</v>
      </c>
      <c r="C253" s="11"/>
      <c r="D253" s="11"/>
      <c r="E253" s="12"/>
      <c r="F253" s="11"/>
      <c r="G253" s="12"/>
    </row>
    <row r="254" spans="1:7" x14ac:dyDescent="0.25">
      <c r="A254" s="9">
        <f>'Como usar'!$B$4+INT((ROW()-2)/6)</f>
        <v>46332</v>
      </c>
      <c r="B254" s="10" t="s">
        <v>7</v>
      </c>
      <c r="C254" s="11"/>
      <c r="D254" s="11"/>
      <c r="E254" s="12"/>
      <c r="F254" s="11"/>
      <c r="G254" s="12"/>
    </row>
    <row r="255" spans="1:7" x14ac:dyDescent="0.25">
      <c r="A255" s="9">
        <f>'Como usar'!$B$4+INT((ROW()-2)/6)</f>
        <v>46332</v>
      </c>
      <c r="B255" s="10" t="s">
        <v>8</v>
      </c>
      <c r="C255" s="11"/>
      <c r="D255" s="11"/>
      <c r="E255" s="12"/>
      <c r="F255" s="11"/>
      <c r="G255" s="12"/>
    </row>
    <row r="256" spans="1:7" x14ac:dyDescent="0.25">
      <c r="A256" s="9">
        <f>'Como usar'!$B$4+INT((ROW()-2)/6)</f>
        <v>46332</v>
      </c>
      <c r="B256" s="10" t="s">
        <v>9</v>
      </c>
      <c r="C256" s="11"/>
      <c r="D256" s="11"/>
      <c r="E256" s="12"/>
      <c r="F256" s="11"/>
      <c r="G256" s="12"/>
    </row>
    <row r="257" spans="1:7" x14ac:dyDescent="0.25">
      <c r="A257" s="9">
        <f>'Como usar'!$B$4+INT((ROW()-2)/6)</f>
        <v>46332</v>
      </c>
      <c r="B257" s="10" t="s">
        <v>10</v>
      </c>
      <c r="C257" s="11"/>
      <c r="D257" s="11"/>
      <c r="E257" s="12"/>
      <c r="F257" s="11"/>
      <c r="G257" s="12"/>
    </row>
    <row r="258" spans="1:7" x14ac:dyDescent="0.25">
      <c r="A258" s="9">
        <f>'Como usar'!$B$4+INT((ROW()-2)/6)</f>
        <v>46332</v>
      </c>
      <c r="B258" s="10" t="s">
        <v>11</v>
      </c>
      <c r="C258" s="11"/>
      <c r="D258" s="11"/>
      <c r="E258" s="12"/>
      <c r="F258" s="11"/>
      <c r="G258" s="12"/>
    </row>
    <row r="259" spans="1:7" x14ac:dyDescent="0.25">
      <c r="A259" s="9">
        <f>'Como usar'!$B$4+INT((ROW()-2)/6)</f>
        <v>46332</v>
      </c>
      <c r="B259" s="10" t="s">
        <v>12</v>
      </c>
      <c r="C259" s="11"/>
      <c r="D259" s="11"/>
      <c r="E259" s="12"/>
      <c r="F259" s="11"/>
      <c r="G259" s="12"/>
    </row>
    <row r="260" spans="1:7" x14ac:dyDescent="0.25">
      <c r="A260" s="9">
        <f>'Como usar'!$B$4+INT((ROW()-2)/6)</f>
        <v>46333</v>
      </c>
      <c r="B260" s="10" t="s">
        <v>7</v>
      </c>
      <c r="C260" s="11"/>
      <c r="D260" s="11"/>
      <c r="E260" s="12"/>
      <c r="F260" s="11"/>
      <c r="G260" s="12"/>
    </row>
    <row r="261" spans="1:7" x14ac:dyDescent="0.25">
      <c r="A261" s="9">
        <f>'Como usar'!$B$4+INT((ROW()-2)/6)</f>
        <v>46333</v>
      </c>
      <c r="B261" s="10" t="s">
        <v>8</v>
      </c>
      <c r="C261" s="11"/>
      <c r="D261" s="11"/>
      <c r="E261" s="12"/>
      <c r="F261" s="11"/>
      <c r="G261" s="12"/>
    </row>
    <row r="262" spans="1:7" x14ac:dyDescent="0.25">
      <c r="A262" s="9">
        <f>'Como usar'!$B$4+INT((ROW()-2)/6)</f>
        <v>46333</v>
      </c>
      <c r="B262" s="10" t="s">
        <v>9</v>
      </c>
      <c r="C262" s="11"/>
      <c r="D262" s="11"/>
      <c r="E262" s="12"/>
      <c r="F262" s="11"/>
      <c r="G262" s="12"/>
    </row>
    <row r="263" spans="1:7" x14ac:dyDescent="0.25">
      <c r="A263" s="9">
        <f>'Como usar'!$B$4+INT((ROW()-2)/6)</f>
        <v>46333</v>
      </c>
      <c r="B263" s="10" t="s">
        <v>10</v>
      </c>
      <c r="C263" s="11"/>
      <c r="D263" s="11"/>
      <c r="E263" s="12"/>
      <c r="F263" s="11"/>
      <c r="G263" s="12"/>
    </row>
    <row r="264" spans="1:7" x14ac:dyDescent="0.25">
      <c r="A264" s="9">
        <f>'Como usar'!$B$4+INT((ROW()-2)/6)</f>
        <v>46333</v>
      </c>
      <c r="B264" s="10" t="s">
        <v>11</v>
      </c>
      <c r="C264" s="11"/>
      <c r="D264" s="11"/>
      <c r="E264" s="12"/>
      <c r="F264" s="11"/>
      <c r="G264" s="12"/>
    </row>
    <row r="265" spans="1:7" x14ac:dyDescent="0.25">
      <c r="A265" s="9">
        <f>'Como usar'!$B$4+INT((ROW()-2)/6)</f>
        <v>46333</v>
      </c>
      <c r="B265" s="10" t="s">
        <v>12</v>
      </c>
      <c r="C265" s="11"/>
      <c r="D265" s="11"/>
      <c r="E265" s="12"/>
      <c r="F265" s="11"/>
      <c r="G265" s="12"/>
    </row>
    <row r="266" spans="1:7" x14ac:dyDescent="0.25">
      <c r="A266" s="9">
        <f>'Como usar'!$B$4+INT((ROW()-2)/6)</f>
        <v>46334</v>
      </c>
      <c r="B266" s="10" t="s">
        <v>7</v>
      </c>
      <c r="C266" s="11"/>
      <c r="D266" s="11"/>
      <c r="E266" s="12"/>
      <c r="F266" s="11"/>
      <c r="G266" s="12"/>
    </row>
    <row r="267" spans="1:7" x14ac:dyDescent="0.25">
      <c r="A267" s="9">
        <f>'Como usar'!$B$4+INT((ROW()-2)/6)</f>
        <v>46334</v>
      </c>
      <c r="B267" s="10" t="s">
        <v>8</v>
      </c>
      <c r="C267" s="11"/>
      <c r="D267" s="11"/>
      <c r="E267" s="12"/>
      <c r="F267" s="11"/>
      <c r="G267" s="12"/>
    </row>
    <row r="268" spans="1:7" x14ac:dyDescent="0.25">
      <c r="A268" s="9">
        <f>'Como usar'!$B$4+INT((ROW()-2)/6)</f>
        <v>46334</v>
      </c>
      <c r="B268" s="10" t="s">
        <v>9</v>
      </c>
      <c r="C268" s="11"/>
      <c r="D268" s="11"/>
      <c r="E268" s="12"/>
      <c r="F268" s="11"/>
      <c r="G268" s="12"/>
    </row>
    <row r="269" spans="1:7" x14ac:dyDescent="0.25">
      <c r="A269" s="9">
        <f>'Como usar'!$B$4+INT((ROW()-2)/6)</f>
        <v>46334</v>
      </c>
      <c r="B269" s="10" t="s">
        <v>10</v>
      </c>
      <c r="C269" s="11"/>
      <c r="D269" s="11"/>
      <c r="E269" s="12"/>
      <c r="F269" s="11"/>
      <c r="G269" s="12"/>
    </row>
    <row r="270" spans="1:7" x14ac:dyDescent="0.25">
      <c r="A270" s="9">
        <f>'Como usar'!$B$4+INT((ROW()-2)/6)</f>
        <v>46334</v>
      </c>
      <c r="B270" s="10" t="s">
        <v>11</v>
      </c>
      <c r="C270" s="11"/>
      <c r="D270" s="11"/>
      <c r="E270" s="12"/>
      <c r="F270" s="11"/>
      <c r="G270" s="12"/>
    </row>
    <row r="271" spans="1:7" x14ac:dyDescent="0.25">
      <c r="A271" s="9">
        <f>'Como usar'!$B$4+INT((ROW()-2)/6)</f>
        <v>46334</v>
      </c>
      <c r="B271" s="10" t="s">
        <v>12</v>
      </c>
      <c r="C271" s="11"/>
      <c r="D271" s="11"/>
      <c r="E271" s="12"/>
      <c r="F271" s="11"/>
      <c r="G271" s="12"/>
    </row>
    <row r="272" spans="1:7" x14ac:dyDescent="0.25">
      <c r="A272" s="9">
        <f>'Como usar'!$B$4+INT((ROW()-2)/6)</f>
        <v>46335</v>
      </c>
      <c r="B272" s="10" t="s">
        <v>7</v>
      </c>
      <c r="C272" s="11"/>
      <c r="D272" s="11"/>
      <c r="E272" s="12"/>
      <c r="F272" s="11"/>
      <c r="G272" s="12"/>
    </row>
    <row r="273" spans="1:7" x14ac:dyDescent="0.25">
      <c r="A273" s="9">
        <f>'Como usar'!$B$4+INT((ROW()-2)/6)</f>
        <v>46335</v>
      </c>
      <c r="B273" s="10" t="s">
        <v>8</v>
      </c>
      <c r="C273" s="11"/>
      <c r="D273" s="11"/>
      <c r="E273" s="12"/>
      <c r="F273" s="11"/>
      <c r="G273" s="12"/>
    </row>
    <row r="274" spans="1:7" x14ac:dyDescent="0.25">
      <c r="A274" s="9">
        <f>'Como usar'!$B$4+INT((ROW()-2)/6)</f>
        <v>46335</v>
      </c>
      <c r="B274" s="10" t="s">
        <v>9</v>
      </c>
      <c r="C274" s="11"/>
      <c r="D274" s="11"/>
      <c r="E274" s="12"/>
      <c r="F274" s="11"/>
      <c r="G274" s="12"/>
    </row>
    <row r="275" spans="1:7" x14ac:dyDescent="0.25">
      <c r="A275" s="9">
        <f>'Como usar'!$B$4+INT((ROW()-2)/6)</f>
        <v>46335</v>
      </c>
      <c r="B275" s="10" t="s">
        <v>10</v>
      </c>
      <c r="C275" s="11"/>
      <c r="D275" s="11"/>
      <c r="E275" s="12"/>
      <c r="F275" s="11"/>
      <c r="G275" s="12"/>
    </row>
    <row r="276" spans="1:7" x14ac:dyDescent="0.25">
      <c r="A276" s="9">
        <f>'Como usar'!$B$4+INT((ROW()-2)/6)</f>
        <v>46335</v>
      </c>
      <c r="B276" s="10" t="s">
        <v>11</v>
      </c>
      <c r="C276" s="11"/>
      <c r="D276" s="11"/>
      <c r="E276" s="12"/>
      <c r="F276" s="11"/>
      <c r="G276" s="12"/>
    </row>
    <row r="277" spans="1:7" x14ac:dyDescent="0.25">
      <c r="A277" s="9">
        <f>'Como usar'!$B$4+INT((ROW()-2)/6)</f>
        <v>46335</v>
      </c>
      <c r="B277" s="10" t="s">
        <v>12</v>
      </c>
      <c r="C277" s="11"/>
      <c r="D277" s="11"/>
      <c r="E277" s="12"/>
      <c r="F277" s="11"/>
      <c r="G277" s="12"/>
    </row>
    <row r="278" spans="1:7" x14ac:dyDescent="0.25">
      <c r="A278" s="9">
        <f>'Como usar'!$B$4+INT((ROW()-2)/6)</f>
        <v>46336</v>
      </c>
      <c r="B278" s="10" t="s">
        <v>7</v>
      </c>
      <c r="C278" s="11"/>
      <c r="D278" s="11"/>
      <c r="E278" s="12"/>
      <c r="F278" s="11"/>
      <c r="G278" s="12"/>
    </row>
    <row r="279" spans="1:7" x14ac:dyDescent="0.25">
      <c r="A279" s="9">
        <f>'Como usar'!$B$4+INT((ROW()-2)/6)</f>
        <v>46336</v>
      </c>
      <c r="B279" s="10" t="s">
        <v>8</v>
      </c>
      <c r="C279" s="11"/>
      <c r="D279" s="11"/>
      <c r="E279" s="12"/>
      <c r="F279" s="11"/>
      <c r="G279" s="12"/>
    </row>
    <row r="280" spans="1:7" x14ac:dyDescent="0.25">
      <c r="A280" s="9">
        <f>'Como usar'!$B$4+INT((ROW()-2)/6)</f>
        <v>46336</v>
      </c>
      <c r="B280" s="10" t="s">
        <v>9</v>
      </c>
      <c r="C280" s="11"/>
      <c r="D280" s="11"/>
      <c r="E280" s="12"/>
      <c r="F280" s="11"/>
      <c r="G280" s="12"/>
    </row>
    <row r="281" spans="1:7" x14ac:dyDescent="0.25">
      <c r="A281" s="9">
        <f>'Como usar'!$B$4+INT((ROW()-2)/6)</f>
        <v>46336</v>
      </c>
      <c r="B281" s="10" t="s">
        <v>10</v>
      </c>
      <c r="C281" s="11"/>
      <c r="D281" s="11"/>
      <c r="E281" s="12"/>
      <c r="F281" s="11"/>
      <c r="G281" s="12"/>
    </row>
    <row r="282" spans="1:7" x14ac:dyDescent="0.25">
      <c r="A282" s="9">
        <f>'Como usar'!$B$4+INT((ROW()-2)/6)</f>
        <v>46336</v>
      </c>
      <c r="B282" s="10" t="s">
        <v>11</v>
      </c>
      <c r="C282" s="11"/>
      <c r="D282" s="11"/>
      <c r="E282" s="12"/>
      <c r="F282" s="11"/>
      <c r="G282" s="12"/>
    </row>
    <row r="283" spans="1:7" x14ac:dyDescent="0.25">
      <c r="A283" s="9">
        <f>'Como usar'!$B$4+INT((ROW()-2)/6)</f>
        <v>46336</v>
      </c>
      <c r="B283" s="10" t="s">
        <v>12</v>
      </c>
      <c r="C283" s="11"/>
      <c r="D283" s="11"/>
      <c r="E283" s="12"/>
      <c r="F283" s="11"/>
      <c r="G283" s="12"/>
    </row>
    <row r="284" spans="1:7" x14ac:dyDescent="0.25">
      <c r="A284" s="9">
        <f>'Como usar'!$B$4+INT((ROW()-2)/6)</f>
        <v>46337</v>
      </c>
      <c r="B284" s="10" t="s">
        <v>7</v>
      </c>
      <c r="C284" s="11"/>
      <c r="D284" s="11"/>
      <c r="E284" s="12"/>
      <c r="F284" s="11"/>
      <c r="G284" s="12"/>
    </row>
    <row r="285" spans="1:7" x14ac:dyDescent="0.25">
      <c r="A285" s="9">
        <f>'Como usar'!$B$4+INT((ROW()-2)/6)</f>
        <v>46337</v>
      </c>
      <c r="B285" s="10" t="s">
        <v>8</v>
      </c>
      <c r="C285" s="11"/>
      <c r="D285" s="11"/>
      <c r="E285" s="12"/>
      <c r="F285" s="11"/>
      <c r="G285" s="12"/>
    </row>
    <row r="286" spans="1:7" x14ac:dyDescent="0.25">
      <c r="A286" s="9">
        <f>'Como usar'!$B$4+INT((ROW()-2)/6)</f>
        <v>46337</v>
      </c>
      <c r="B286" s="10" t="s">
        <v>9</v>
      </c>
      <c r="C286" s="11"/>
      <c r="D286" s="11"/>
      <c r="E286" s="12"/>
      <c r="F286" s="11"/>
      <c r="G286" s="12"/>
    </row>
    <row r="287" spans="1:7" x14ac:dyDescent="0.25">
      <c r="A287" s="9">
        <f>'Como usar'!$B$4+INT((ROW()-2)/6)</f>
        <v>46337</v>
      </c>
      <c r="B287" s="10" t="s">
        <v>10</v>
      </c>
      <c r="C287" s="11"/>
      <c r="D287" s="11"/>
      <c r="E287" s="12"/>
      <c r="F287" s="11"/>
      <c r="G287" s="12"/>
    </row>
    <row r="288" spans="1:7" x14ac:dyDescent="0.25">
      <c r="A288" s="9">
        <f>'Como usar'!$B$4+INT((ROW()-2)/6)</f>
        <v>46337</v>
      </c>
      <c r="B288" s="10" t="s">
        <v>11</v>
      </c>
      <c r="C288" s="11"/>
      <c r="D288" s="11"/>
      <c r="E288" s="12"/>
      <c r="F288" s="11"/>
      <c r="G288" s="12"/>
    </row>
    <row r="289" spans="1:7" x14ac:dyDescent="0.25">
      <c r="A289" s="9">
        <f>'Como usar'!$B$4+INT((ROW()-2)/6)</f>
        <v>46337</v>
      </c>
      <c r="B289" s="10" t="s">
        <v>12</v>
      </c>
      <c r="C289" s="11"/>
      <c r="D289" s="11"/>
      <c r="E289" s="12"/>
      <c r="F289" s="11"/>
      <c r="G289" s="12"/>
    </row>
    <row r="290" spans="1:7" x14ac:dyDescent="0.25">
      <c r="A290" s="9">
        <f>'Como usar'!$B$4+INT((ROW()-2)/6)</f>
        <v>46338</v>
      </c>
      <c r="B290" s="10" t="s">
        <v>7</v>
      </c>
      <c r="C290" s="11"/>
      <c r="D290" s="11"/>
      <c r="E290" s="12"/>
      <c r="F290" s="11"/>
      <c r="G290" s="12"/>
    </row>
    <row r="291" spans="1:7" x14ac:dyDescent="0.25">
      <c r="A291" s="9">
        <f>'Como usar'!$B$4+INT((ROW()-2)/6)</f>
        <v>46338</v>
      </c>
      <c r="B291" s="10" t="s">
        <v>8</v>
      </c>
      <c r="C291" s="11"/>
      <c r="D291" s="11"/>
      <c r="E291" s="12"/>
      <c r="F291" s="11"/>
      <c r="G291" s="12"/>
    </row>
    <row r="292" spans="1:7" x14ac:dyDescent="0.25">
      <c r="A292" s="9">
        <f>'Como usar'!$B$4+INT((ROW()-2)/6)</f>
        <v>46338</v>
      </c>
      <c r="B292" s="10" t="s">
        <v>9</v>
      </c>
      <c r="C292" s="11"/>
      <c r="D292" s="11"/>
      <c r="E292" s="12"/>
      <c r="F292" s="11"/>
      <c r="G292" s="12"/>
    </row>
    <row r="293" spans="1:7" x14ac:dyDescent="0.25">
      <c r="A293" s="9">
        <f>'Como usar'!$B$4+INT((ROW()-2)/6)</f>
        <v>46338</v>
      </c>
      <c r="B293" s="10" t="s">
        <v>10</v>
      </c>
      <c r="C293" s="11"/>
      <c r="D293" s="11"/>
      <c r="E293" s="12"/>
      <c r="F293" s="11"/>
      <c r="G293" s="12"/>
    </row>
    <row r="294" spans="1:7" x14ac:dyDescent="0.25">
      <c r="A294" s="9">
        <f>'Como usar'!$B$4+INT((ROW()-2)/6)</f>
        <v>46338</v>
      </c>
      <c r="B294" s="10" t="s">
        <v>11</v>
      </c>
      <c r="C294" s="11"/>
      <c r="D294" s="11"/>
      <c r="E294" s="12"/>
      <c r="F294" s="11"/>
      <c r="G294" s="12"/>
    </row>
    <row r="295" spans="1:7" x14ac:dyDescent="0.25">
      <c r="A295" s="9">
        <f>'Como usar'!$B$4+INT((ROW()-2)/6)</f>
        <v>46338</v>
      </c>
      <c r="B295" s="10" t="s">
        <v>12</v>
      </c>
      <c r="C295" s="11"/>
      <c r="D295" s="11"/>
      <c r="E295" s="12"/>
      <c r="F295" s="11"/>
      <c r="G295" s="12"/>
    </row>
    <row r="296" spans="1:7" x14ac:dyDescent="0.25">
      <c r="A296" s="9">
        <f>'Como usar'!$B$4+INT((ROW()-2)/6)</f>
        <v>46339</v>
      </c>
      <c r="B296" s="10" t="s">
        <v>7</v>
      </c>
      <c r="C296" s="11"/>
      <c r="D296" s="11"/>
      <c r="E296" s="12"/>
      <c r="F296" s="11"/>
      <c r="G296" s="12"/>
    </row>
    <row r="297" spans="1:7" x14ac:dyDescent="0.25">
      <c r="A297" s="9">
        <f>'Como usar'!$B$4+INT((ROW()-2)/6)</f>
        <v>46339</v>
      </c>
      <c r="B297" s="10" t="s">
        <v>8</v>
      </c>
      <c r="C297" s="11"/>
      <c r="D297" s="11"/>
      <c r="E297" s="12"/>
      <c r="F297" s="11"/>
      <c r="G297" s="12"/>
    </row>
    <row r="298" spans="1:7" x14ac:dyDescent="0.25">
      <c r="A298" s="9">
        <f>'Como usar'!$B$4+INT((ROW()-2)/6)</f>
        <v>46339</v>
      </c>
      <c r="B298" s="10" t="s">
        <v>9</v>
      </c>
      <c r="C298" s="11"/>
      <c r="D298" s="11"/>
      <c r="E298" s="12"/>
      <c r="F298" s="11"/>
      <c r="G298" s="12"/>
    </row>
    <row r="299" spans="1:7" x14ac:dyDescent="0.25">
      <c r="A299" s="9">
        <f>'Como usar'!$B$4+INT((ROW()-2)/6)</f>
        <v>46339</v>
      </c>
      <c r="B299" s="10" t="s">
        <v>10</v>
      </c>
      <c r="C299" s="11"/>
      <c r="D299" s="11"/>
      <c r="E299" s="12"/>
      <c r="F299" s="11"/>
      <c r="G299" s="12"/>
    </row>
    <row r="300" spans="1:7" x14ac:dyDescent="0.25">
      <c r="A300" s="9">
        <f>'Como usar'!$B$4+INT((ROW()-2)/6)</f>
        <v>46339</v>
      </c>
      <c r="B300" s="10" t="s">
        <v>11</v>
      </c>
      <c r="C300" s="11"/>
      <c r="D300" s="11"/>
      <c r="E300" s="12"/>
      <c r="F300" s="11"/>
      <c r="G300" s="12"/>
    </row>
    <row r="301" spans="1:7" x14ac:dyDescent="0.25">
      <c r="A301" s="9">
        <f>'Como usar'!$B$4+INT((ROW()-2)/6)</f>
        <v>46339</v>
      </c>
      <c r="B301" s="10" t="s">
        <v>12</v>
      </c>
      <c r="C301" s="11"/>
      <c r="D301" s="11"/>
      <c r="E301" s="12"/>
      <c r="F301" s="11"/>
      <c r="G301" s="12"/>
    </row>
    <row r="302" spans="1:7" x14ac:dyDescent="0.25">
      <c r="A302" s="9">
        <f>'Como usar'!$B$4+INT((ROW()-2)/6)</f>
        <v>46340</v>
      </c>
      <c r="B302" s="10" t="s">
        <v>7</v>
      </c>
      <c r="C302" s="11"/>
      <c r="D302" s="11"/>
      <c r="E302" s="12"/>
      <c r="F302" s="11"/>
      <c r="G302" s="12"/>
    </row>
    <row r="303" spans="1:7" x14ac:dyDescent="0.25">
      <c r="A303" s="9">
        <f>'Como usar'!$B$4+INT((ROW()-2)/6)</f>
        <v>46340</v>
      </c>
      <c r="B303" s="10" t="s">
        <v>8</v>
      </c>
      <c r="C303" s="11"/>
      <c r="D303" s="11"/>
      <c r="E303" s="12"/>
      <c r="F303" s="11"/>
      <c r="G303" s="12"/>
    </row>
    <row r="304" spans="1:7" x14ac:dyDescent="0.25">
      <c r="A304" s="9">
        <f>'Como usar'!$B$4+INT((ROW()-2)/6)</f>
        <v>46340</v>
      </c>
      <c r="B304" s="10" t="s">
        <v>9</v>
      </c>
      <c r="C304" s="11"/>
      <c r="D304" s="11"/>
      <c r="E304" s="12"/>
      <c r="F304" s="11"/>
      <c r="G304" s="12"/>
    </row>
    <row r="305" spans="1:7" x14ac:dyDescent="0.25">
      <c r="A305" s="9">
        <f>'Como usar'!$B$4+INT((ROW()-2)/6)</f>
        <v>46340</v>
      </c>
      <c r="B305" s="10" t="s">
        <v>10</v>
      </c>
      <c r="C305" s="11"/>
      <c r="D305" s="11"/>
      <c r="E305" s="12"/>
      <c r="F305" s="11"/>
      <c r="G305" s="12"/>
    </row>
    <row r="306" spans="1:7" x14ac:dyDescent="0.25">
      <c r="A306" s="9">
        <f>'Como usar'!$B$4+INT((ROW()-2)/6)</f>
        <v>46340</v>
      </c>
      <c r="B306" s="10" t="s">
        <v>11</v>
      </c>
      <c r="C306" s="11"/>
      <c r="D306" s="11"/>
      <c r="E306" s="12"/>
      <c r="F306" s="11"/>
      <c r="G306" s="12"/>
    </row>
    <row r="307" spans="1:7" x14ac:dyDescent="0.25">
      <c r="A307" s="9">
        <f>'Como usar'!$B$4+INT((ROW()-2)/6)</f>
        <v>46340</v>
      </c>
      <c r="B307" s="10" t="s">
        <v>12</v>
      </c>
      <c r="C307" s="11"/>
      <c r="D307" s="11"/>
      <c r="E307" s="12"/>
      <c r="F307" s="11"/>
      <c r="G307" s="12"/>
    </row>
    <row r="308" spans="1:7" x14ac:dyDescent="0.25">
      <c r="A308" s="9">
        <f>'Como usar'!$B$4+INT((ROW()-2)/6)</f>
        <v>46341</v>
      </c>
      <c r="B308" s="10" t="s">
        <v>7</v>
      </c>
      <c r="C308" s="11"/>
      <c r="D308" s="11"/>
      <c r="E308" s="12"/>
      <c r="F308" s="11"/>
      <c r="G308" s="12"/>
    </row>
    <row r="309" spans="1:7" x14ac:dyDescent="0.25">
      <c r="A309" s="9">
        <f>'Como usar'!$B$4+INT((ROW()-2)/6)</f>
        <v>46341</v>
      </c>
      <c r="B309" s="10" t="s">
        <v>8</v>
      </c>
      <c r="C309" s="11"/>
      <c r="D309" s="11"/>
      <c r="E309" s="12"/>
      <c r="F309" s="11"/>
      <c r="G309" s="12"/>
    </row>
    <row r="310" spans="1:7" x14ac:dyDescent="0.25">
      <c r="A310" s="9">
        <f>'Como usar'!$B$4+INT((ROW()-2)/6)</f>
        <v>46341</v>
      </c>
      <c r="B310" s="10" t="s">
        <v>9</v>
      </c>
      <c r="C310" s="11"/>
      <c r="D310" s="11"/>
      <c r="E310" s="12"/>
      <c r="F310" s="11"/>
      <c r="G310" s="12"/>
    </row>
    <row r="311" spans="1:7" x14ac:dyDescent="0.25">
      <c r="A311" s="9">
        <f>'Como usar'!$B$4+INT((ROW()-2)/6)</f>
        <v>46341</v>
      </c>
      <c r="B311" s="10" t="s">
        <v>10</v>
      </c>
      <c r="C311" s="11"/>
      <c r="D311" s="11"/>
      <c r="E311" s="12"/>
      <c r="F311" s="11"/>
      <c r="G311" s="12"/>
    </row>
    <row r="312" spans="1:7" x14ac:dyDescent="0.25">
      <c r="A312" s="9">
        <f>'Como usar'!$B$4+INT((ROW()-2)/6)</f>
        <v>46341</v>
      </c>
      <c r="B312" s="10" t="s">
        <v>11</v>
      </c>
      <c r="C312" s="11"/>
      <c r="D312" s="11"/>
      <c r="E312" s="12"/>
      <c r="F312" s="11"/>
      <c r="G312" s="12"/>
    </row>
    <row r="313" spans="1:7" x14ac:dyDescent="0.25">
      <c r="A313" s="9">
        <f>'Como usar'!$B$4+INT((ROW()-2)/6)</f>
        <v>46341</v>
      </c>
      <c r="B313" s="10" t="s">
        <v>12</v>
      </c>
      <c r="C313" s="11"/>
      <c r="D313" s="11"/>
      <c r="E313" s="12"/>
      <c r="F313" s="11"/>
      <c r="G313" s="12"/>
    </row>
    <row r="314" spans="1:7" x14ac:dyDescent="0.25">
      <c r="A314" s="9">
        <f>'Como usar'!$B$4+INT((ROW()-2)/6)</f>
        <v>46342</v>
      </c>
      <c r="B314" s="10" t="s">
        <v>7</v>
      </c>
      <c r="C314" s="11"/>
      <c r="D314" s="11"/>
      <c r="E314" s="12"/>
      <c r="F314" s="11"/>
      <c r="G314" s="12"/>
    </row>
    <row r="315" spans="1:7" x14ac:dyDescent="0.25">
      <c r="A315" s="9">
        <f>'Como usar'!$B$4+INT((ROW()-2)/6)</f>
        <v>46342</v>
      </c>
      <c r="B315" s="10" t="s">
        <v>8</v>
      </c>
      <c r="C315" s="11"/>
      <c r="D315" s="11"/>
      <c r="E315" s="12"/>
      <c r="F315" s="11"/>
      <c r="G315" s="12"/>
    </row>
    <row r="316" spans="1:7" x14ac:dyDescent="0.25">
      <c r="A316" s="9">
        <f>'Como usar'!$B$4+INT((ROW()-2)/6)</f>
        <v>46342</v>
      </c>
      <c r="B316" s="10" t="s">
        <v>9</v>
      </c>
      <c r="C316" s="11"/>
      <c r="D316" s="11"/>
      <c r="E316" s="12"/>
      <c r="F316" s="11"/>
      <c r="G316" s="12"/>
    </row>
    <row r="317" spans="1:7" x14ac:dyDescent="0.25">
      <c r="A317" s="9">
        <f>'Como usar'!$B$4+INT((ROW()-2)/6)</f>
        <v>46342</v>
      </c>
      <c r="B317" s="10" t="s">
        <v>10</v>
      </c>
      <c r="C317" s="11"/>
      <c r="D317" s="11"/>
      <c r="E317" s="12"/>
      <c r="F317" s="11"/>
      <c r="G317" s="12"/>
    </row>
    <row r="318" spans="1:7" x14ac:dyDescent="0.25">
      <c r="A318" s="9">
        <f>'Como usar'!$B$4+INT((ROW()-2)/6)</f>
        <v>46342</v>
      </c>
      <c r="B318" s="10" t="s">
        <v>11</v>
      </c>
      <c r="C318" s="11"/>
      <c r="D318" s="11"/>
      <c r="E318" s="12"/>
      <c r="F318" s="11"/>
      <c r="G318" s="12"/>
    </row>
    <row r="319" spans="1:7" x14ac:dyDescent="0.25">
      <c r="A319" s="9">
        <f>'Como usar'!$B$4+INT((ROW()-2)/6)</f>
        <v>46342</v>
      </c>
      <c r="B319" s="10" t="s">
        <v>12</v>
      </c>
      <c r="C319" s="11"/>
      <c r="D319" s="11"/>
      <c r="E319" s="12"/>
      <c r="F319" s="11"/>
      <c r="G319" s="12"/>
    </row>
    <row r="320" spans="1:7" x14ac:dyDescent="0.25">
      <c r="A320" s="9">
        <f>'Como usar'!$B$4+INT((ROW()-2)/6)</f>
        <v>46343</v>
      </c>
      <c r="B320" s="10" t="s">
        <v>7</v>
      </c>
      <c r="C320" s="11"/>
      <c r="D320" s="11"/>
      <c r="E320" s="12"/>
      <c r="F320" s="11"/>
      <c r="G320" s="12"/>
    </row>
    <row r="321" spans="1:7" x14ac:dyDescent="0.25">
      <c r="A321" s="9">
        <f>'Como usar'!$B$4+INT((ROW()-2)/6)</f>
        <v>46343</v>
      </c>
      <c r="B321" s="10" t="s">
        <v>8</v>
      </c>
      <c r="C321" s="11"/>
      <c r="D321" s="11"/>
      <c r="E321" s="12"/>
      <c r="F321" s="11"/>
      <c r="G321" s="12"/>
    </row>
    <row r="322" spans="1:7" x14ac:dyDescent="0.25">
      <c r="A322" s="9">
        <f>'Como usar'!$B$4+INT((ROW()-2)/6)</f>
        <v>46343</v>
      </c>
      <c r="B322" s="10" t="s">
        <v>9</v>
      </c>
      <c r="C322" s="11"/>
      <c r="D322" s="11"/>
      <c r="E322" s="12"/>
      <c r="F322" s="11"/>
      <c r="G322" s="12"/>
    </row>
    <row r="323" spans="1:7" x14ac:dyDescent="0.25">
      <c r="A323" s="9">
        <f>'Como usar'!$B$4+INT((ROW()-2)/6)</f>
        <v>46343</v>
      </c>
      <c r="B323" s="10" t="s">
        <v>10</v>
      </c>
      <c r="C323" s="11"/>
      <c r="D323" s="11"/>
      <c r="E323" s="12"/>
      <c r="F323" s="11"/>
      <c r="G323" s="12"/>
    </row>
    <row r="324" spans="1:7" x14ac:dyDescent="0.25">
      <c r="A324" s="9">
        <f>'Como usar'!$B$4+INT((ROW()-2)/6)</f>
        <v>46343</v>
      </c>
      <c r="B324" s="10" t="s">
        <v>11</v>
      </c>
      <c r="C324" s="11"/>
      <c r="D324" s="11"/>
      <c r="E324" s="12"/>
      <c r="F324" s="11"/>
      <c r="G324" s="12"/>
    </row>
    <row r="325" spans="1:7" x14ac:dyDescent="0.25">
      <c r="A325" s="9">
        <f>'Como usar'!$B$4+INT((ROW()-2)/6)</f>
        <v>46343</v>
      </c>
      <c r="B325" s="10" t="s">
        <v>12</v>
      </c>
      <c r="C325" s="11"/>
      <c r="D325" s="11"/>
      <c r="E325" s="12"/>
      <c r="F325" s="11"/>
      <c r="G325" s="12"/>
    </row>
    <row r="326" spans="1:7" x14ac:dyDescent="0.25">
      <c r="A326" s="9">
        <f>'Como usar'!$B$4+INT((ROW()-2)/6)</f>
        <v>46344</v>
      </c>
      <c r="B326" s="10" t="s">
        <v>7</v>
      </c>
      <c r="C326" s="11"/>
      <c r="D326" s="11"/>
      <c r="E326" s="12"/>
      <c r="F326" s="11"/>
      <c r="G326" s="12"/>
    </row>
    <row r="327" spans="1:7" x14ac:dyDescent="0.25">
      <c r="A327" s="9">
        <f>'Como usar'!$B$4+INT((ROW()-2)/6)</f>
        <v>46344</v>
      </c>
      <c r="B327" s="10" t="s">
        <v>8</v>
      </c>
      <c r="C327" s="11"/>
      <c r="D327" s="11"/>
      <c r="E327" s="12"/>
      <c r="F327" s="11"/>
      <c r="G327" s="12"/>
    </row>
    <row r="328" spans="1:7" x14ac:dyDescent="0.25">
      <c r="A328" s="9">
        <f>'Como usar'!$B$4+INT((ROW()-2)/6)</f>
        <v>46344</v>
      </c>
      <c r="B328" s="10" t="s">
        <v>9</v>
      </c>
      <c r="C328" s="11"/>
      <c r="D328" s="11"/>
      <c r="E328" s="12"/>
      <c r="F328" s="11"/>
      <c r="G328" s="12"/>
    </row>
    <row r="329" spans="1:7" x14ac:dyDescent="0.25">
      <c r="A329" s="9">
        <f>'Como usar'!$B$4+INT((ROW()-2)/6)</f>
        <v>46344</v>
      </c>
      <c r="B329" s="10" t="s">
        <v>10</v>
      </c>
      <c r="C329" s="11"/>
      <c r="D329" s="11"/>
      <c r="E329" s="12"/>
      <c r="F329" s="11"/>
      <c r="G329" s="12"/>
    </row>
    <row r="330" spans="1:7" x14ac:dyDescent="0.25">
      <c r="A330" s="9">
        <f>'Como usar'!$B$4+INT((ROW()-2)/6)</f>
        <v>46344</v>
      </c>
      <c r="B330" s="10" t="s">
        <v>11</v>
      </c>
      <c r="C330" s="11"/>
      <c r="D330" s="11"/>
      <c r="E330" s="12"/>
      <c r="F330" s="11"/>
      <c r="G330" s="12"/>
    </row>
    <row r="331" spans="1:7" x14ac:dyDescent="0.25">
      <c r="A331" s="9">
        <f>'Como usar'!$B$4+INT((ROW()-2)/6)</f>
        <v>46344</v>
      </c>
      <c r="B331" s="10" t="s">
        <v>12</v>
      </c>
      <c r="C331" s="11"/>
      <c r="D331" s="11"/>
      <c r="E331" s="12"/>
      <c r="F331" s="11"/>
      <c r="G331" s="12"/>
    </row>
    <row r="332" spans="1:7" x14ac:dyDescent="0.25">
      <c r="A332" s="9">
        <f>'Como usar'!$B$4+INT((ROW()-2)/6)</f>
        <v>46345</v>
      </c>
      <c r="B332" s="10" t="s">
        <v>7</v>
      </c>
      <c r="C332" s="11"/>
      <c r="D332" s="11"/>
      <c r="E332" s="12"/>
      <c r="F332" s="11"/>
      <c r="G332" s="12"/>
    </row>
    <row r="333" spans="1:7" x14ac:dyDescent="0.25">
      <c r="A333" s="9">
        <f>'Como usar'!$B$4+INT((ROW()-2)/6)</f>
        <v>46345</v>
      </c>
      <c r="B333" s="10" t="s">
        <v>8</v>
      </c>
      <c r="C333" s="11"/>
      <c r="D333" s="11"/>
      <c r="E333" s="12"/>
      <c r="F333" s="11"/>
      <c r="G333" s="12"/>
    </row>
    <row r="334" spans="1:7" x14ac:dyDescent="0.25">
      <c r="A334" s="9">
        <f>'Como usar'!$B$4+INT((ROW()-2)/6)</f>
        <v>46345</v>
      </c>
      <c r="B334" s="10" t="s">
        <v>9</v>
      </c>
      <c r="C334" s="11"/>
      <c r="D334" s="11"/>
      <c r="E334" s="12"/>
      <c r="F334" s="11"/>
      <c r="G334" s="12"/>
    </row>
    <row r="335" spans="1:7" x14ac:dyDescent="0.25">
      <c r="A335" s="9">
        <f>'Como usar'!$B$4+INT((ROW()-2)/6)</f>
        <v>46345</v>
      </c>
      <c r="B335" s="10" t="s">
        <v>10</v>
      </c>
      <c r="C335" s="11"/>
      <c r="D335" s="11"/>
      <c r="E335" s="12"/>
      <c r="F335" s="11"/>
      <c r="G335" s="12"/>
    </row>
    <row r="336" spans="1:7" x14ac:dyDescent="0.25">
      <c r="A336" s="9">
        <f>'Como usar'!$B$4+INT((ROW()-2)/6)</f>
        <v>46345</v>
      </c>
      <c r="B336" s="10" t="s">
        <v>11</v>
      </c>
      <c r="C336" s="11"/>
      <c r="D336" s="11"/>
      <c r="E336" s="12"/>
      <c r="F336" s="11"/>
      <c r="G336" s="12"/>
    </row>
    <row r="337" spans="1:7" x14ac:dyDescent="0.25">
      <c r="A337" s="9">
        <f>'Como usar'!$B$4+INT((ROW()-2)/6)</f>
        <v>46345</v>
      </c>
      <c r="B337" s="10" t="s">
        <v>12</v>
      </c>
      <c r="C337" s="11"/>
      <c r="D337" s="11"/>
      <c r="E337" s="12"/>
      <c r="F337" s="11"/>
      <c r="G337" s="12"/>
    </row>
    <row r="338" spans="1:7" x14ac:dyDescent="0.25">
      <c r="A338" s="9">
        <f>'Como usar'!$B$4+INT((ROW()-2)/6)</f>
        <v>46346</v>
      </c>
      <c r="B338" s="10" t="s">
        <v>7</v>
      </c>
      <c r="C338" s="11"/>
      <c r="D338" s="11"/>
      <c r="E338" s="12"/>
      <c r="F338" s="11"/>
      <c r="G338" s="12"/>
    </row>
    <row r="339" spans="1:7" x14ac:dyDescent="0.25">
      <c r="A339" s="9">
        <f>'Como usar'!$B$4+INT((ROW()-2)/6)</f>
        <v>46346</v>
      </c>
      <c r="B339" s="10" t="s">
        <v>8</v>
      </c>
      <c r="C339" s="11"/>
      <c r="D339" s="11"/>
      <c r="E339" s="12"/>
      <c r="F339" s="11"/>
      <c r="G339" s="12"/>
    </row>
    <row r="340" spans="1:7" x14ac:dyDescent="0.25">
      <c r="A340" s="9">
        <f>'Como usar'!$B$4+INT((ROW()-2)/6)</f>
        <v>46346</v>
      </c>
      <c r="B340" s="10" t="s">
        <v>9</v>
      </c>
      <c r="C340" s="11"/>
      <c r="D340" s="11"/>
      <c r="E340" s="12"/>
      <c r="F340" s="11"/>
      <c r="G340" s="12"/>
    </row>
    <row r="341" spans="1:7" x14ac:dyDescent="0.25">
      <c r="A341" s="9">
        <f>'Como usar'!$B$4+INT((ROW()-2)/6)</f>
        <v>46346</v>
      </c>
      <c r="B341" s="10" t="s">
        <v>10</v>
      </c>
      <c r="C341" s="11"/>
      <c r="D341" s="11"/>
      <c r="E341" s="12"/>
      <c r="F341" s="11"/>
      <c r="G341" s="12"/>
    </row>
    <row r="342" spans="1:7" x14ac:dyDescent="0.25">
      <c r="A342" s="9">
        <f>'Como usar'!$B$4+INT((ROW()-2)/6)</f>
        <v>46346</v>
      </c>
      <c r="B342" s="10" t="s">
        <v>11</v>
      </c>
      <c r="C342" s="11"/>
      <c r="D342" s="11"/>
      <c r="E342" s="12"/>
      <c r="F342" s="11"/>
      <c r="G342" s="12"/>
    </row>
    <row r="343" spans="1:7" x14ac:dyDescent="0.25">
      <c r="A343" s="9">
        <f>'Como usar'!$B$4+INT((ROW()-2)/6)</f>
        <v>46346</v>
      </c>
      <c r="B343" s="10" t="s">
        <v>12</v>
      </c>
      <c r="C343" s="11"/>
      <c r="D343" s="11"/>
      <c r="E343" s="12"/>
      <c r="F343" s="11"/>
      <c r="G343" s="12"/>
    </row>
    <row r="344" spans="1:7" x14ac:dyDescent="0.25">
      <c r="A344" s="9">
        <f>'Como usar'!$B$4+INT((ROW()-2)/6)</f>
        <v>46347</v>
      </c>
      <c r="B344" s="10" t="s">
        <v>7</v>
      </c>
      <c r="C344" s="11"/>
      <c r="D344" s="11"/>
      <c r="E344" s="12"/>
      <c r="F344" s="11"/>
      <c r="G344" s="12"/>
    </row>
    <row r="345" spans="1:7" x14ac:dyDescent="0.25">
      <c r="A345" s="9">
        <f>'Como usar'!$B$4+INT((ROW()-2)/6)</f>
        <v>46347</v>
      </c>
      <c r="B345" s="10" t="s">
        <v>8</v>
      </c>
      <c r="C345" s="11"/>
      <c r="D345" s="11"/>
      <c r="E345" s="12"/>
      <c r="F345" s="11"/>
      <c r="G345" s="12"/>
    </row>
    <row r="346" spans="1:7" x14ac:dyDescent="0.25">
      <c r="A346" s="9">
        <f>'Como usar'!$B$4+INT((ROW()-2)/6)</f>
        <v>46347</v>
      </c>
      <c r="B346" s="10" t="s">
        <v>9</v>
      </c>
      <c r="C346" s="11"/>
      <c r="D346" s="11"/>
      <c r="E346" s="12"/>
      <c r="F346" s="11"/>
      <c r="G346" s="12"/>
    </row>
    <row r="347" spans="1:7" x14ac:dyDescent="0.25">
      <c r="A347" s="9">
        <f>'Como usar'!$B$4+INT((ROW()-2)/6)</f>
        <v>46347</v>
      </c>
      <c r="B347" s="10" t="s">
        <v>10</v>
      </c>
      <c r="C347" s="11"/>
      <c r="D347" s="11"/>
      <c r="E347" s="12"/>
      <c r="F347" s="11"/>
      <c r="G347" s="12"/>
    </row>
    <row r="348" spans="1:7" x14ac:dyDescent="0.25">
      <c r="A348" s="9">
        <f>'Como usar'!$B$4+INT((ROW()-2)/6)</f>
        <v>46347</v>
      </c>
      <c r="B348" s="10" t="s">
        <v>11</v>
      </c>
      <c r="C348" s="11"/>
      <c r="D348" s="11"/>
      <c r="E348" s="12"/>
      <c r="F348" s="11"/>
      <c r="G348" s="12"/>
    </row>
    <row r="349" spans="1:7" x14ac:dyDescent="0.25">
      <c r="A349" s="9">
        <f>'Como usar'!$B$4+INT((ROW()-2)/6)</f>
        <v>46347</v>
      </c>
      <c r="B349" s="10" t="s">
        <v>12</v>
      </c>
      <c r="C349" s="11"/>
      <c r="D349" s="11"/>
      <c r="E349" s="12"/>
      <c r="F349" s="11"/>
      <c r="G349" s="12"/>
    </row>
    <row r="350" spans="1:7" x14ac:dyDescent="0.25">
      <c r="A350" s="9">
        <f>'Como usar'!$B$4+INT((ROW()-2)/6)</f>
        <v>46348</v>
      </c>
      <c r="B350" s="10" t="s">
        <v>7</v>
      </c>
      <c r="C350" s="11"/>
      <c r="D350" s="11"/>
      <c r="E350" s="12"/>
      <c r="F350" s="11"/>
      <c r="G350" s="12"/>
    </row>
    <row r="351" spans="1:7" x14ac:dyDescent="0.25">
      <c r="A351" s="9">
        <f>'Como usar'!$B$4+INT((ROW()-2)/6)</f>
        <v>46348</v>
      </c>
      <c r="B351" s="10" t="s">
        <v>8</v>
      </c>
      <c r="C351" s="11"/>
      <c r="D351" s="11"/>
      <c r="E351" s="12"/>
      <c r="F351" s="11"/>
      <c r="G351" s="12"/>
    </row>
    <row r="352" spans="1:7" x14ac:dyDescent="0.25">
      <c r="A352" s="9">
        <f>'Como usar'!$B$4+INT((ROW()-2)/6)</f>
        <v>46348</v>
      </c>
      <c r="B352" s="10" t="s">
        <v>9</v>
      </c>
      <c r="C352" s="11"/>
      <c r="D352" s="11"/>
      <c r="E352" s="12"/>
      <c r="F352" s="11"/>
      <c r="G352" s="12"/>
    </row>
    <row r="353" spans="1:7" x14ac:dyDescent="0.25">
      <c r="A353" s="9">
        <f>'Como usar'!$B$4+INT((ROW()-2)/6)</f>
        <v>46348</v>
      </c>
      <c r="B353" s="10" t="s">
        <v>10</v>
      </c>
      <c r="C353" s="11"/>
      <c r="D353" s="11"/>
      <c r="E353" s="12"/>
      <c r="F353" s="11"/>
      <c r="G353" s="12"/>
    </row>
    <row r="354" spans="1:7" x14ac:dyDescent="0.25">
      <c r="A354" s="9">
        <f>'Como usar'!$B$4+INT((ROW()-2)/6)</f>
        <v>46348</v>
      </c>
      <c r="B354" s="10" t="s">
        <v>11</v>
      </c>
      <c r="C354" s="11"/>
      <c r="D354" s="11"/>
      <c r="E354" s="12"/>
      <c r="F354" s="11"/>
      <c r="G354" s="12"/>
    </row>
    <row r="355" spans="1:7" x14ac:dyDescent="0.25">
      <c r="A355" s="9">
        <f>'Como usar'!$B$4+INT((ROW()-2)/6)</f>
        <v>46348</v>
      </c>
      <c r="B355" s="10" t="s">
        <v>12</v>
      </c>
      <c r="C355" s="11"/>
      <c r="D355" s="11"/>
      <c r="E355" s="12"/>
      <c r="F355" s="11"/>
      <c r="G355" s="12"/>
    </row>
    <row r="356" spans="1:7" x14ac:dyDescent="0.25">
      <c r="A356" s="9">
        <f>'Como usar'!$B$4+INT((ROW()-2)/6)</f>
        <v>46349</v>
      </c>
      <c r="B356" s="10" t="s">
        <v>7</v>
      </c>
      <c r="C356" s="11"/>
      <c r="D356" s="11"/>
      <c r="E356" s="12"/>
      <c r="F356" s="11"/>
      <c r="G356" s="12"/>
    </row>
    <row r="357" spans="1:7" x14ac:dyDescent="0.25">
      <c r="A357" s="9">
        <f>'Como usar'!$B$4+INT((ROW()-2)/6)</f>
        <v>46349</v>
      </c>
      <c r="B357" s="10" t="s">
        <v>8</v>
      </c>
      <c r="C357" s="11"/>
      <c r="D357" s="11"/>
      <c r="E357" s="12"/>
      <c r="F357" s="11"/>
      <c r="G357" s="12"/>
    </row>
    <row r="358" spans="1:7" x14ac:dyDescent="0.25">
      <c r="A358" s="9">
        <f>'Como usar'!$B$4+INT((ROW()-2)/6)</f>
        <v>46349</v>
      </c>
      <c r="B358" s="10" t="s">
        <v>9</v>
      </c>
      <c r="C358" s="11"/>
      <c r="D358" s="11"/>
      <c r="E358" s="12"/>
      <c r="F358" s="11"/>
      <c r="G358" s="12"/>
    </row>
    <row r="359" spans="1:7" x14ac:dyDescent="0.25">
      <c r="A359" s="9">
        <f>'Como usar'!$B$4+INT((ROW()-2)/6)</f>
        <v>46349</v>
      </c>
      <c r="B359" s="10" t="s">
        <v>10</v>
      </c>
      <c r="C359" s="11"/>
      <c r="D359" s="11"/>
      <c r="E359" s="12"/>
      <c r="F359" s="11"/>
      <c r="G359" s="12"/>
    </row>
    <row r="360" spans="1:7" x14ac:dyDescent="0.25">
      <c r="A360" s="9">
        <f>'Como usar'!$B$4+INT((ROW()-2)/6)</f>
        <v>46349</v>
      </c>
      <c r="B360" s="10" t="s">
        <v>11</v>
      </c>
      <c r="C360" s="11"/>
      <c r="D360" s="11"/>
      <c r="E360" s="12"/>
      <c r="F360" s="11"/>
      <c r="G360" s="12"/>
    </row>
    <row r="361" spans="1:7" x14ac:dyDescent="0.25">
      <c r="A361" s="9">
        <f>'Como usar'!$B$4+INT((ROW()-2)/6)</f>
        <v>46349</v>
      </c>
      <c r="B361" s="10" t="s">
        <v>12</v>
      </c>
      <c r="C361" s="11"/>
      <c r="D361" s="11"/>
      <c r="E361" s="12"/>
      <c r="F361" s="11"/>
      <c r="G361" s="12"/>
    </row>
    <row r="362" spans="1:7" x14ac:dyDescent="0.25">
      <c r="A362" s="9">
        <f>'Como usar'!$B$4+INT((ROW()-2)/6)</f>
        <v>46350</v>
      </c>
      <c r="B362" s="10" t="s">
        <v>7</v>
      </c>
      <c r="C362" s="11"/>
      <c r="D362" s="11"/>
      <c r="E362" s="12"/>
      <c r="F362" s="11"/>
      <c r="G362" s="12"/>
    </row>
    <row r="363" spans="1:7" x14ac:dyDescent="0.25">
      <c r="A363" s="9">
        <f>'Como usar'!$B$4+INT((ROW()-2)/6)</f>
        <v>46350</v>
      </c>
      <c r="B363" s="10" t="s">
        <v>8</v>
      </c>
      <c r="C363" s="11"/>
      <c r="D363" s="11"/>
      <c r="E363" s="12"/>
      <c r="F363" s="11"/>
      <c r="G363" s="12"/>
    </row>
    <row r="364" spans="1:7" x14ac:dyDescent="0.25">
      <c r="A364" s="9">
        <f>'Como usar'!$B$4+INT((ROW()-2)/6)</f>
        <v>46350</v>
      </c>
      <c r="B364" s="10" t="s">
        <v>9</v>
      </c>
      <c r="C364" s="11"/>
      <c r="D364" s="11"/>
      <c r="E364" s="12"/>
      <c r="F364" s="11"/>
      <c r="G364" s="12"/>
    </row>
    <row r="365" spans="1:7" x14ac:dyDescent="0.25">
      <c r="A365" s="9">
        <f>'Como usar'!$B$4+INT((ROW()-2)/6)</f>
        <v>46350</v>
      </c>
      <c r="B365" s="10" t="s">
        <v>10</v>
      </c>
      <c r="C365" s="11"/>
      <c r="D365" s="11"/>
      <c r="E365" s="12"/>
      <c r="F365" s="11"/>
      <c r="G365" s="12"/>
    </row>
    <row r="366" spans="1:7" x14ac:dyDescent="0.25">
      <c r="A366" s="9">
        <f>'Como usar'!$B$4+INT((ROW()-2)/6)</f>
        <v>46350</v>
      </c>
      <c r="B366" s="10" t="s">
        <v>11</v>
      </c>
      <c r="C366" s="11"/>
      <c r="D366" s="11"/>
      <c r="E366" s="12"/>
      <c r="F366" s="11"/>
      <c r="G366" s="12"/>
    </row>
    <row r="367" spans="1:7" x14ac:dyDescent="0.25">
      <c r="A367" s="9">
        <f>'Como usar'!$B$4+INT((ROW()-2)/6)</f>
        <v>46350</v>
      </c>
      <c r="B367" s="10" t="s">
        <v>12</v>
      </c>
      <c r="C367" s="11"/>
      <c r="D367" s="11"/>
      <c r="E367" s="12"/>
      <c r="F367" s="11"/>
      <c r="G367" s="12"/>
    </row>
    <row r="368" spans="1:7" x14ac:dyDescent="0.25">
      <c r="A368" s="9">
        <f>'Como usar'!$B$4+INT((ROW()-2)/6)</f>
        <v>46351</v>
      </c>
      <c r="B368" s="10" t="s">
        <v>7</v>
      </c>
      <c r="C368" s="11"/>
      <c r="D368" s="11"/>
      <c r="E368" s="12"/>
      <c r="F368" s="11"/>
      <c r="G368" s="12"/>
    </row>
    <row r="369" spans="1:7" x14ac:dyDescent="0.25">
      <c r="A369" s="9">
        <f>'Como usar'!$B$4+INT((ROW()-2)/6)</f>
        <v>46351</v>
      </c>
      <c r="B369" s="10" t="s">
        <v>8</v>
      </c>
      <c r="C369" s="11"/>
      <c r="D369" s="11"/>
      <c r="E369" s="12"/>
      <c r="F369" s="11"/>
      <c r="G369" s="12"/>
    </row>
    <row r="370" spans="1:7" x14ac:dyDescent="0.25">
      <c r="A370" s="9">
        <f>'Como usar'!$B$4+INT((ROW()-2)/6)</f>
        <v>46351</v>
      </c>
      <c r="B370" s="10" t="s">
        <v>9</v>
      </c>
      <c r="C370" s="11"/>
      <c r="D370" s="11"/>
      <c r="E370" s="12"/>
      <c r="F370" s="11"/>
      <c r="G370" s="12"/>
    </row>
    <row r="371" spans="1:7" x14ac:dyDescent="0.25">
      <c r="A371" s="9">
        <f>'Como usar'!$B$4+INT((ROW()-2)/6)</f>
        <v>46351</v>
      </c>
      <c r="B371" s="10" t="s">
        <v>10</v>
      </c>
      <c r="C371" s="11"/>
      <c r="D371" s="11"/>
      <c r="E371" s="12"/>
      <c r="F371" s="11"/>
      <c r="G371" s="12"/>
    </row>
    <row r="372" spans="1:7" x14ac:dyDescent="0.25">
      <c r="A372" s="9">
        <f>'Como usar'!$B$4+INT((ROW()-2)/6)</f>
        <v>46351</v>
      </c>
      <c r="B372" s="10" t="s">
        <v>11</v>
      </c>
      <c r="C372" s="11"/>
      <c r="D372" s="11"/>
      <c r="E372" s="12"/>
      <c r="F372" s="11"/>
      <c r="G372" s="12"/>
    </row>
    <row r="373" spans="1:7" x14ac:dyDescent="0.25">
      <c r="A373" s="9">
        <f>'Como usar'!$B$4+INT((ROW()-2)/6)</f>
        <v>46351</v>
      </c>
      <c r="B373" s="10" t="s">
        <v>12</v>
      </c>
      <c r="C373" s="11"/>
      <c r="D373" s="11"/>
      <c r="E373" s="12"/>
      <c r="F373" s="11"/>
      <c r="G373" s="12"/>
    </row>
    <row r="374" spans="1:7" x14ac:dyDescent="0.25">
      <c r="A374" s="9">
        <f>'Como usar'!$B$4+INT((ROW()-2)/6)</f>
        <v>46352</v>
      </c>
      <c r="B374" s="10" t="s">
        <v>7</v>
      </c>
      <c r="C374" s="11"/>
      <c r="D374" s="11"/>
      <c r="E374" s="12"/>
      <c r="F374" s="11"/>
      <c r="G374" s="12"/>
    </row>
    <row r="375" spans="1:7" x14ac:dyDescent="0.25">
      <c r="A375" s="9">
        <f>'Como usar'!$B$4+INT((ROW()-2)/6)</f>
        <v>46352</v>
      </c>
      <c r="B375" s="10" t="s">
        <v>8</v>
      </c>
      <c r="C375" s="11"/>
      <c r="D375" s="11"/>
      <c r="E375" s="12"/>
      <c r="F375" s="11"/>
      <c r="G375" s="12"/>
    </row>
    <row r="376" spans="1:7" x14ac:dyDescent="0.25">
      <c r="A376" s="9">
        <f>'Como usar'!$B$4+INT((ROW()-2)/6)</f>
        <v>46352</v>
      </c>
      <c r="B376" s="10" t="s">
        <v>9</v>
      </c>
      <c r="C376" s="11"/>
      <c r="D376" s="11"/>
      <c r="E376" s="12"/>
      <c r="F376" s="11"/>
      <c r="G376" s="12"/>
    </row>
    <row r="377" spans="1:7" x14ac:dyDescent="0.25">
      <c r="A377" s="9">
        <f>'Como usar'!$B$4+INT((ROW()-2)/6)</f>
        <v>46352</v>
      </c>
      <c r="B377" s="10" t="s">
        <v>10</v>
      </c>
      <c r="C377" s="11"/>
      <c r="D377" s="11"/>
      <c r="E377" s="12"/>
      <c r="F377" s="11"/>
      <c r="G377" s="12"/>
    </row>
    <row r="378" spans="1:7" x14ac:dyDescent="0.25">
      <c r="A378" s="9">
        <f>'Como usar'!$B$4+INT((ROW()-2)/6)</f>
        <v>46352</v>
      </c>
      <c r="B378" s="10" t="s">
        <v>11</v>
      </c>
      <c r="C378" s="11"/>
      <c r="D378" s="11"/>
      <c r="E378" s="12"/>
      <c r="F378" s="11"/>
      <c r="G378" s="12"/>
    </row>
    <row r="379" spans="1:7" x14ac:dyDescent="0.25">
      <c r="A379" s="9">
        <f>'Como usar'!$B$4+INT((ROW()-2)/6)</f>
        <v>46352</v>
      </c>
      <c r="B379" s="10" t="s">
        <v>12</v>
      </c>
      <c r="C379" s="11"/>
      <c r="D379" s="11"/>
      <c r="E379" s="12"/>
      <c r="F379" s="11"/>
      <c r="G379" s="12"/>
    </row>
    <row r="380" spans="1:7" x14ac:dyDescent="0.25">
      <c r="A380" s="9">
        <f>'Como usar'!$B$4+INT((ROW()-2)/6)</f>
        <v>46353</v>
      </c>
      <c r="B380" s="10" t="s">
        <v>7</v>
      </c>
      <c r="C380" s="11"/>
      <c r="D380" s="11"/>
      <c r="E380" s="12"/>
      <c r="F380" s="11"/>
      <c r="G380" s="12"/>
    </row>
    <row r="381" spans="1:7" x14ac:dyDescent="0.25">
      <c r="A381" s="9">
        <f>'Como usar'!$B$4+INT((ROW()-2)/6)</f>
        <v>46353</v>
      </c>
      <c r="B381" s="10" t="s">
        <v>8</v>
      </c>
      <c r="C381" s="11"/>
      <c r="D381" s="11"/>
      <c r="E381" s="12"/>
      <c r="F381" s="11"/>
      <c r="G381" s="12"/>
    </row>
    <row r="382" spans="1:7" x14ac:dyDescent="0.25">
      <c r="A382" s="9">
        <f>'Como usar'!$B$4+INT((ROW()-2)/6)</f>
        <v>46353</v>
      </c>
      <c r="B382" s="10" t="s">
        <v>9</v>
      </c>
      <c r="C382" s="11"/>
      <c r="D382" s="11"/>
      <c r="E382" s="12"/>
      <c r="F382" s="11"/>
      <c r="G382" s="12"/>
    </row>
    <row r="383" spans="1:7" x14ac:dyDescent="0.25">
      <c r="A383" s="9">
        <f>'Como usar'!$B$4+INT((ROW()-2)/6)</f>
        <v>46353</v>
      </c>
      <c r="B383" s="10" t="s">
        <v>10</v>
      </c>
      <c r="C383" s="11"/>
      <c r="D383" s="11"/>
      <c r="E383" s="12"/>
      <c r="F383" s="11"/>
      <c r="G383" s="12"/>
    </row>
    <row r="384" spans="1:7" x14ac:dyDescent="0.25">
      <c r="A384" s="9">
        <f>'Como usar'!$B$4+INT((ROW()-2)/6)</f>
        <v>46353</v>
      </c>
      <c r="B384" s="10" t="s">
        <v>11</v>
      </c>
      <c r="C384" s="11"/>
      <c r="D384" s="11"/>
      <c r="E384" s="12"/>
      <c r="F384" s="11"/>
      <c r="G384" s="12"/>
    </row>
    <row r="385" spans="1:7" x14ac:dyDescent="0.25">
      <c r="A385" s="9">
        <f>'Como usar'!$B$4+INT((ROW()-2)/6)</f>
        <v>46353</v>
      </c>
      <c r="B385" s="10" t="s">
        <v>12</v>
      </c>
      <c r="C385" s="11"/>
      <c r="D385" s="11"/>
      <c r="E385" s="12"/>
      <c r="F385" s="11"/>
      <c r="G385" s="12"/>
    </row>
    <row r="386" spans="1:7" x14ac:dyDescent="0.25">
      <c r="A386" s="9">
        <f>'Como usar'!$B$4+INT((ROW()-2)/6)</f>
        <v>46354</v>
      </c>
      <c r="B386" s="10" t="s">
        <v>7</v>
      </c>
      <c r="C386" s="11"/>
      <c r="D386" s="11"/>
      <c r="E386" s="12"/>
      <c r="F386" s="11"/>
      <c r="G386" s="12"/>
    </row>
    <row r="387" spans="1:7" x14ac:dyDescent="0.25">
      <c r="A387" s="9">
        <f>'Como usar'!$B$4+INT((ROW()-2)/6)</f>
        <v>46354</v>
      </c>
      <c r="B387" s="10" t="s">
        <v>8</v>
      </c>
      <c r="C387" s="11"/>
      <c r="D387" s="11"/>
      <c r="E387" s="12"/>
      <c r="F387" s="11"/>
      <c r="G387" s="12"/>
    </row>
    <row r="388" spans="1:7" x14ac:dyDescent="0.25">
      <c r="A388" s="9">
        <f>'Como usar'!$B$4+INT((ROW()-2)/6)</f>
        <v>46354</v>
      </c>
      <c r="B388" s="10" t="s">
        <v>9</v>
      </c>
      <c r="C388" s="11"/>
      <c r="D388" s="11"/>
      <c r="E388" s="12"/>
      <c r="F388" s="11"/>
      <c r="G388" s="12"/>
    </row>
    <row r="389" spans="1:7" x14ac:dyDescent="0.25">
      <c r="A389" s="9">
        <f>'Como usar'!$B$4+INT((ROW()-2)/6)</f>
        <v>46354</v>
      </c>
      <c r="B389" s="10" t="s">
        <v>10</v>
      </c>
      <c r="C389" s="11"/>
      <c r="D389" s="11"/>
      <c r="E389" s="12"/>
      <c r="F389" s="11"/>
      <c r="G389" s="12"/>
    </row>
    <row r="390" spans="1:7" x14ac:dyDescent="0.25">
      <c r="A390" s="9">
        <f>'Como usar'!$B$4+INT((ROW()-2)/6)</f>
        <v>46354</v>
      </c>
      <c r="B390" s="10" t="s">
        <v>11</v>
      </c>
      <c r="C390" s="11"/>
      <c r="D390" s="11"/>
      <c r="E390" s="12"/>
      <c r="F390" s="11"/>
      <c r="G390" s="12"/>
    </row>
    <row r="391" spans="1:7" x14ac:dyDescent="0.25">
      <c r="A391" s="9">
        <f>'Como usar'!$B$4+INT((ROW()-2)/6)</f>
        <v>46354</v>
      </c>
      <c r="B391" s="10" t="s">
        <v>12</v>
      </c>
      <c r="C391" s="11"/>
      <c r="D391" s="11"/>
      <c r="E391" s="12"/>
      <c r="F391" s="11"/>
      <c r="G391" s="12"/>
    </row>
    <row r="392" spans="1:7" x14ac:dyDescent="0.25">
      <c r="A392" s="9">
        <f>'Como usar'!$B$4+INT((ROW()-2)/6)</f>
        <v>46355</v>
      </c>
      <c r="B392" s="10" t="s">
        <v>7</v>
      </c>
      <c r="C392" s="11"/>
      <c r="D392" s="11"/>
      <c r="E392" s="12"/>
      <c r="F392" s="11"/>
      <c r="G392" s="12"/>
    </row>
    <row r="393" spans="1:7" x14ac:dyDescent="0.25">
      <c r="A393" s="9">
        <f>'Como usar'!$B$4+INT((ROW()-2)/6)</f>
        <v>46355</v>
      </c>
      <c r="B393" s="10" t="s">
        <v>8</v>
      </c>
      <c r="C393" s="11"/>
      <c r="D393" s="11"/>
      <c r="E393" s="12"/>
      <c r="F393" s="11"/>
      <c r="G393" s="12"/>
    </row>
    <row r="394" spans="1:7" x14ac:dyDescent="0.25">
      <c r="A394" s="9">
        <f>'Como usar'!$B$4+INT((ROW()-2)/6)</f>
        <v>46355</v>
      </c>
      <c r="B394" s="10" t="s">
        <v>9</v>
      </c>
      <c r="C394" s="11"/>
      <c r="D394" s="11"/>
      <c r="E394" s="12"/>
      <c r="F394" s="11"/>
      <c r="G394" s="12"/>
    </row>
    <row r="395" spans="1:7" x14ac:dyDescent="0.25">
      <c r="A395" s="9">
        <f>'Como usar'!$B$4+INT((ROW()-2)/6)</f>
        <v>46355</v>
      </c>
      <c r="B395" s="10" t="s">
        <v>10</v>
      </c>
      <c r="C395" s="11"/>
      <c r="D395" s="11"/>
      <c r="E395" s="12"/>
      <c r="F395" s="11"/>
      <c r="G395" s="12"/>
    </row>
    <row r="396" spans="1:7" x14ac:dyDescent="0.25">
      <c r="A396" s="9">
        <f>'Como usar'!$B$4+INT((ROW()-2)/6)</f>
        <v>46355</v>
      </c>
      <c r="B396" s="10" t="s">
        <v>11</v>
      </c>
      <c r="C396" s="11"/>
      <c r="D396" s="11"/>
      <c r="E396" s="12"/>
      <c r="F396" s="11"/>
      <c r="G396" s="12"/>
    </row>
    <row r="397" spans="1:7" x14ac:dyDescent="0.25">
      <c r="A397" s="9">
        <f>'Como usar'!$B$4+INT((ROW()-2)/6)</f>
        <v>46355</v>
      </c>
      <c r="B397" s="10" t="s">
        <v>12</v>
      </c>
      <c r="C397" s="11"/>
      <c r="D397" s="11"/>
      <c r="E397" s="12"/>
      <c r="F397" s="11"/>
      <c r="G397" s="12"/>
    </row>
    <row r="398" spans="1:7" x14ac:dyDescent="0.25">
      <c r="A398" s="9">
        <f>'Como usar'!$B$4+INT((ROW()-2)/6)</f>
        <v>46356</v>
      </c>
      <c r="B398" s="10" t="s">
        <v>7</v>
      </c>
      <c r="C398" s="11"/>
      <c r="D398" s="11"/>
      <c r="E398" s="12"/>
      <c r="F398" s="11"/>
      <c r="G398" s="12"/>
    </row>
    <row r="399" spans="1:7" x14ac:dyDescent="0.25">
      <c r="A399" s="9">
        <f>'Como usar'!$B$4+INT((ROW()-2)/6)</f>
        <v>46356</v>
      </c>
      <c r="B399" s="10" t="s">
        <v>8</v>
      </c>
      <c r="C399" s="11"/>
      <c r="D399" s="11"/>
      <c r="E399" s="12"/>
      <c r="F399" s="11"/>
      <c r="G399" s="12"/>
    </row>
    <row r="400" spans="1:7" x14ac:dyDescent="0.25">
      <c r="A400" s="9">
        <f>'Como usar'!$B$4+INT((ROW()-2)/6)</f>
        <v>46356</v>
      </c>
      <c r="B400" s="10" t="s">
        <v>9</v>
      </c>
      <c r="C400" s="11"/>
      <c r="D400" s="11"/>
      <c r="E400" s="12"/>
      <c r="F400" s="11"/>
      <c r="G400" s="12"/>
    </row>
    <row r="401" spans="1:7" x14ac:dyDescent="0.25">
      <c r="A401" s="9">
        <f>'Como usar'!$B$4+INT((ROW()-2)/6)</f>
        <v>46356</v>
      </c>
      <c r="B401" s="10" t="s">
        <v>10</v>
      </c>
      <c r="C401" s="11"/>
      <c r="D401" s="11"/>
      <c r="E401" s="12"/>
      <c r="F401" s="11"/>
      <c r="G401" s="12"/>
    </row>
    <row r="402" spans="1:7" x14ac:dyDescent="0.25">
      <c r="A402" s="9">
        <f>'Como usar'!$B$4+INT((ROW()-2)/6)</f>
        <v>46356</v>
      </c>
      <c r="B402" s="10" t="s">
        <v>11</v>
      </c>
      <c r="C402" s="11"/>
      <c r="D402" s="11"/>
      <c r="E402" s="12"/>
      <c r="F402" s="11"/>
      <c r="G402" s="12"/>
    </row>
    <row r="403" spans="1:7" x14ac:dyDescent="0.25">
      <c r="A403" s="9">
        <f>'Como usar'!$B$4+INT((ROW()-2)/6)</f>
        <v>46356</v>
      </c>
      <c r="B403" s="10" t="s">
        <v>12</v>
      </c>
      <c r="C403" s="11"/>
      <c r="D403" s="11"/>
      <c r="E403" s="12"/>
      <c r="F403" s="11"/>
      <c r="G403" s="12"/>
    </row>
    <row r="404" spans="1:7" x14ac:dyDescent="0.25">
      <c r="A404" s="9">
        <f>'Como usar'!$B$4+INT((ROW()-2)/6)</f>
        <v>46357</v>
      </c>
      <c r="B404" s="10" t="s">
        <v>7</v>
      </c>
      <c r="C404" s="11"/>
      <c r="D404" s="11"/>
      <c r="E404" s="12"/>
      <c r="F404" s="11"/>
      <c r="G404" s="12"/>
    </row>
    <row r="405" spans="1:7" x14ac:dyDescent="0.25">
      <c r="A405" s="9">
        <f>'Como usar'!$B$4+INT((ROW()-2)/6)</f>
        <v>46357</v>
      </c>
      <c r="B405" s="10" t="s">
        <v>8</v>
      </c>
      <c r="C405" s="11"/>
      <c r="D405" s="11"/>
      <c r="E405" s="12"/>
      <c r="F405" s="11"/>
      <c r="G405" s="12"/>
    </row>
    <row r="406" spans="1:7" x14ac:dyDescent="0.25">
      <c r="A406" s="9">
        <f>'Como usar'!$B$4+INT((ROW()-2)/6)</f>
        <v>46357</v>
      </c>
      <c r="B406" s="10" t="s">
        <v>9</v>
      </c>
      <c r="C406" s="11"/>
      <c r="D406" s="11"/>
      <c r="E406" s="12"/>
      <c r="F406" s="11"/>
      <c r="G406" s="12"/>
    </row>
    <row r="407" spans="1:7" x14ac:dyDescent="0.25">
      <c r="A407" s="9">
        <f>'Como usar'!$B$4+INT((ROW()-2)/6)</f>
        <v>46357</v>
      </c>
      <c r="B407" s="10" t="s">
        <v>10</v>
      </c>
      <c r="C407" s="11"/>
      <c r="D407" s="11"/>
      <c r="E407" s="12"/>
      <c r="F407" s="11"/>
      <c r="G407" s="12"/>
    </row>
    <row r="408" spans="1:7" x14ac:dyDescent="0.25">
      <c r="A408" s="9">
        <f>'Como usar'!$B$4+INT((ROW()-2)/6)</f>
        <v>46357</v>
      </c>
      <c r="B408" s="10" t="s">
        <v>11</v>
      </c>
      <c r="C408" s="11"/>
      <c r="D408" s="11"/>
      <c r="E408" s="12"/>
      <c r="F408" s="11"/>
      <c r="G408" s="12"/>
    </row>
    <row r="409" spans="1:7" x14ac:dyDescent="0.25">
      <c r="A409" s="9">
        <f>'Como usar'!$B$4+INT((ROW()-2)/6)</f>
        <v>46357</v>
      </c>
      <c r="B409" s="10" t="s">
        <v>12</v>
      </c>
      <c r="C409" s="11"/>
      <c r="D409" s="11"/>
      <c r="E409" s="12"/>
      <c r="F409" s="11"/>
      <c r="G409" s="12"/>
    </row>
    <row r="410" spans="1:7" x14ac:dyDescent="0.25">
      <c r="A410" s="9">
        <f>'Como usar'!$B$4+INT((ROW()-2)/6)</f>
        <v>46358</v>
      </c>
      <c r="B410" s="10" t="s">
        <v>7</v>
      </c>
      <c r="C410" s="11"/>
      <c r="D410" s="11"/>
      <c r="E410" s="12"/>
      <c r="F410" s="11"/>
      <c r="G410" s="12"/>
    </row>
    <row r="411" spans="1:7" x14ac:dyDescent="0.25">
      <c r="A411" s="9">
        <f>'Como usar'!$B$4+INT((ROW()-2)/6)</f>
        <v>46358</v>
      </c>
      <c r="B411" s="10" t="s">
        <v>8</v>
      </c>
      <c r="C411" s="11"/>
      <c r="D411" s="11"/>
      <c r="E411" s="12"/>
      <c r="F411" s="11"/>
      <c r="G411" s="12"/>
    </row>
    <row r="412" spans="1:7" x14ac:dyDescent="0.25">
      <c r="A412" s="9">
        <f>'Como usar'!$B$4+INT((ROW()-2)/6)</f>
        <v>46358</v>
      </c>
      <c r="B412" s="10" t="s">
        <v>9</v>
      </c>
      <c r="C412" s="11"/>
      <c r="D412" s="11"/>
      <c r="E412" s="12"/>
      <c r="F412" s="11"/>
      <c r="G412" s="12"/>
    </row>
    <row r="413" spans="1:7" x14ac:dyDescent="0.25">
      <c r="A413" s="9">
        <f>'Como usar'!$B$4+INT((ROW()-2)/6)</f>
        <v>46358</v>
      </c>
      <c r="B413" s="10" t="s">
        <v>10</v>
      </c>
      <c r="C413" s="11"/>
      <c r="D413" s="11"/>
      <c r="E413" s="12"/>
      <c r="F413" s="11"/>
      <c r="G413" s="12"/>
    </row>
    <row r="414" spans="1:7" x14ac:dyDescent="0.25">
      <c r="A414" s="9">
        <f>'Como usar'!$B$4+INT((ROW()-2)/6)</f>
        <v>46358</v>
      </c>
      <c r="B414" s="10" t="s">
        <v>11</v>
      </c>
      <c r="C414" s="11"/>
      <c r="D414" s="11"/>
      <c r="E414" s="12"/>
      <c r="F414" s="11"/>
      <c r="G414" s="12"/>
    </row>
    <row r="415" spans="1:7" x14ac:dyDescent="0.25">
      <c r="A415" s="9">
        <f>'Como usar'!$B$4+INT((ROW()-2)/6)</f>
        <v>46358</v>
      </c>
      <c r="B415" s="10" t="s">
        <v>12</v>
      </c>
      <c r="C415" s="11"/>
      <c r="D415" s="11"/>
      <c r="E415" s="12"/>
      <c r="F415" s="11"/>
      <c r="G415" s="12"/>
    </row>
    <row r="416" spans="1:7" x14ac:dyDescent="0.25">
      <c r="A416" s="9">
        <f>'Como usar'!$B$4+INT((ROW()-2)/6)</f>
        <v>46359</v>
      </c>
      <c r="B416" s="10" t="s">
        <v>7</v>
      </c>
      <c r="C416" s="11"/>
      <c r="D416" s="11"/>
      <c r="E416" s="12"/>
      <c r="F416" s="11"/>
      <c r="G416" s="12"/>
    </row>
    <row r="417" spans="1:7" x14ac:dyDescent="0.25">
      <c r="A417" s="9">
        <f>'Como usar'!$B$4+INT((ROW()-2)/6)</f>
        <v>46359</v>
      </c>
      <c r="B417" s="10" t="s">
        <v>8</v>
      </c>
      <c r="C417" s="11"/>
      <c r="D417" s="11"/>
      <c r="E417" s="12"/>
      <c r="F417" s="11"/>
      <c r="G417" s="12"/>
    </row>
    <row r="418" spans="1:7" x14ac:dyDescent="0.25">
      <c r="A418" s="9">
        <f>'Como usar'!$B$4+INT((ROW()-2)/6)</f>
        <v>46359</v>
      </c>
      <c r="B418" s="10" t="s">
        <v>9</v>
      </c>
      <c r="C418" s="11"/>
      <c r="D418" s="11"/>
      <c r="E418" s="12"/>
      <c r="F418" s="11"/>
      <c r="G418" s="12"/>
    </row>
    <row r="419" spans="1:7" x14ac:dyDescent="0.25">
      <c r="A419" s="9">
        <f>'Como usar'!$B$4+INT((ROW()-2)/6)</f>
        <v>46359</v>
      </c>
      <c r="B419" s="10" t="s">
        <v>10</v>
      </c>
      <c r="C419" s="11"/>
      <c r="D419" s="11"/>
      <c r="E419" s="12"/>
      <c r="F419" s="11"/>
      <c r="G419" s="12"/>
    </row>
    <row r="420" spans="1:7" x14ac:dyDescent="0.25">
      <c r="A420" s="9">
        <f>'Como usar'!$B$4+INT((ROW()-2)/6)</f>
        <v>46359</v>
      </c>
      <c r="B420" s="10" t="s">
        <v>11</v>
      </c>
      <c r="C420" s="11"/>
      <c r="D420" s="11"/>
      <c r="E420" s="12"/>
      <c r="F420" s="11"/>
      <c r="G420" s="12"/>
    </row>
    <row r="421" spans="1:7" x14ac:dyDescent="0.25">
      <c r="A421" s="9">
        <f>'Como usar'!$B$4+INT((ROW()-2)/6)</f>
        <v>46359</v>
      </c>
      <c r="B421" s="10" t="s">
        <v>12</v>
      </c>
      <c r="C421" s="11"/>
      <c r="D421" s="11"/>
      <c r="E421" s="12"/>
      <c r="F421" s="11"/>
      <c r="G421" s="12"/>
    </row>
    <row r="422" spans="1:7" x14ac:dyDescent="0.25">
      <c r="A422" s="9">
        <f>'Como usar'!$B$4+INT((ROW()-2)/6)</f>
        <v>46360</v>
      </c>
      <c r="B422" s="10" t="s">
        <v>7</v>
      </c>
      <c r="C422" s="11"/>
      <c r="D422" s="11"/>
      <c r="E422" s="12"/>
      <c r="F422" s="11"/>
      <c r="G422" s="12"/>
    </row>
    <row r="423" spans="1:7" x14ac:dyDescent="0.25">
      <c r="A423" s="9">
        <f>'Como usar'!$B$4+INT((ROW()-2)/6)</f>
        <v>46360</v>
      </c>
      <c r="B423" s="10" t="s">
        <v>8</v>
      </c>
      <c r="C423" s="11"/>
      <c r="D423" s="11"/>
      <c r="E423" s="12"/>
      <c r="F423" s="11"/>
      <c r="G423" s="12"/>
    </row>
    <row r="424" spans="1:7" x14ac:dyDescent="0.25">
      <c r="A424" s="9">
        <f>'Como usar'!$B$4+INT((ROW()-2)/6)</f>
        <v>46360</v>
      </c>
      <c r="B424" s="10" t="s">
        <v>9</v>
      </c>
      <c r="C424" s="11"/>
      <c r="D424" s="11"/>
      <c r="E424" s="12"/>
      <c r="F424" s="11"/>
      <c r="G424" s="12"/>
    </row>
    <row r="425" spans="1:7" x14ac:dyDescent="0.25">
      <c r="A425" s="9">
        <f>'Como usar'!$B$4+INT((ROW()-2)/6)</f>
        <v>46360</v>
      </c>
      <c r="B425" s="10" t="s">
        <v>10</v>
      </c>
      <c r="C425" s="11"/>
      <c r="D425" s="11"/>
      <c r="E425" s="12"/>
      <c r="F425" s="11"/>
      <c r="G425" s="12"/>
    </row>
    <row r="426" spans="1:7" x14ac:dyDescent="0.25">
      <c r="A426" s="9">
        <f>'Como usar'!$B$4+INT((ROW()-2)/6)</f>
        <v>46360</v>
      </c>
      <c r="B426" s="10" t="s">
        <v>11</v>
      </c>
      <c r="C426" s="11"/>
      <c r="D426" s="11"/>
      <c r="E426" s="12"/>
      <c r="F426" s="11"/>
      <c r="G426" s="12"/>
    </row>
    <row r="427" spans="1:7" x14ac:dyDescent="0.25">
      <c r="A427" s="9">
        <f>'Como usar'!$B$4+INT((ROW()-2)/6)</f>
        <v>46360</v>
      </c>
      <c r="B427" s="10" t="s">
        <v>12</v>
      </c>
      <c r="C427" s="11"/>
      <c r="D427" s="11"/>
      <c r="E427" s="12"/>
      <c r="F427" s="11"/>
      <c r="G427" s="12"/>
    </row>
    <row r="428" spans="1:7" x14ac:dyDescent="0.25">
      <c r="A428" s="9">
        <f>'Como usar'!$B$4+INT((ROW()-2)/6)</f>
        <v>46361</v>
      </c>
      <c r="B428" s="10" t="s">
        <v>7</v>
      </c>
      <c r="C428" s="11"/>
      <c r="D428" s="11"/>
      <c r="E428" s="12"/>
      <c r="F428" s="11"/>
      <c r="G428" s="12"/>
    </row>
    <row r="429" spans="1:7" x14ac:dyDescent="0.25">
      <c r="A429" s="9">
        <f>'Como usar'!$B$4+INT((ROW()-2)/6)</f>
        <v>46361</v>
      </c>
      <c r="B429" s="10" t="s">
        <v>8</v>
      </c>
      <c r="C429" s="11"/>
      <c r="D429" s="11"/>
      <c r="E429" s="12"/>
      <c r="F429" s="11"/>
      <c r="G429" s="12"/>
    </row>
    <row r="430" spans="1:7" x14ac:dyDescent="0.25">
      <c r="A430" s="9">
        <f>'Como usar'!$B$4+INT((ROW()-2)/6)</f>
        <v>46361</v>
      </c>
      <c r="B430" s="10" t="s">
        <v>9</v>
      </c>
      <c r="C430" s="11"/>
      <c r="D430" s="11"/>
      <c r="E430" s="12"/>
      <c r="F430" s="11"/>
      <c r="G430" s="12"/>
    </row>
    <row r="431" spans="1:7" x14ac:dyDescent="0.25">
      <c r="A431" s="9">
        <f>'Como usar'!$B$4+INT((ROW()-2)/6)</f>
        <v>46361</v>
      </c>
      <c r="B431" s="10" t="s">
        <v>10</v>
      </c>
      <c r="C431" s="11"/>
      <c r="D431" s="11"/>
      <c r="E431" s="12"/>
      <c r="F431" s="11"/>
      <c r="G431" s="12"/>
    </row>
    <row r="432" spans="1:7" x14ac:dyDescent="0.25">
      <c r="A432" s="9">
        <f>'Como usar'!$B$4+INT((ROW()-2)/6)</f>
        <v>46361</v>
      </c>
      <c r="B432" s="10" t="s">
        <v>11</v>
      </c>
      <c r="C432" s="11"/>
      <c r="D432" s="11"/>
      <c r="E432" s="12"/>
      <c r="F432" s="11"/>
      <c r="G432" s="12"/>
    </row>
    <row r="433" spans="1:7" x14ac:dyDescent="0.25">
      <c r="A433" s="9">
        <f>'Como usar'!$B$4+INT((ROW()-2)/6)</f>
        <v>46361</v>
      </c>
      <c r="B433" s="10" t="s">
        <v>12</v>
      </c>
      <c r="C433" s="11"/>
      <c r="D433" s="11"/>
      <c r="E433" s="12"/>
      <c r="F433" s="11"/>
      <c r="G433" s="12"/>
    </row>
    <row r="434" spans="1:7" x14ac:dyDescent="0.25">
      <c r="A434" s="9">
        <f>'Como usar'!$B$4+INT((ROW()-2)/6)</f>
        <v>46362</v>
      </c>
      <c r="B434" s="10" t="s">
        <v>7</v>
      </c>
      <c r="C434" s="11"/>
      <c r="D434" s="11"/>
      <c r="E434" s="12"/>
      <c r="F434" s="11"/>
      <c r="G434" s="12"/>
    </row>
    <row r="435" spans="1:7" x14ac:dyDescent="0.25">
      <c r="A435" s="9">
        <f>'Como usar'!$B$4+INT((ROW()-2)/6)</f>
        <v>46362</v>
      </c>
      <c r="B435" s="10" t="s">
        <v>8</v>
      </c>
      <c r="C435" s="11"/>
      <c r="D435" s="11"/>
      <c r="E435" s="12"/>
      <c r="F435" s="11"/>
      <c r="G435" s="12"/>
    </row>
    <row r="436" spans="1:7" x14ac:dyDescent="0.25">
      <c r="A436" s="9">
        <f>'Como usar'!$B$4+INT((ROW()-2)/6)</f>
        <v>46362</v>
      </c>
      <c r="B436" s="10" t="s">
        <v>9</v>
      </c>
      <c r="C436" s="11"/>
      <c r="D436" s="11"/>
      <c r="E436" s="12"/>
      <c r="F436" s="11"/>
      <c r="G436" s="12"/>
    </row>
    <row r="437" spans="1:7" x14ac:dyDescent="0.25">
      <c r="A437" s="9">
        <f>'Como usar'!$B$4+INT((ROW()-2)/6)</f>
        <v>46362</v>
      </c>
      <c r="B437" s="10" t="s">
        <v>10</v>
      </c>
      <c r="C437" s="11"/>
      <c r="D437" s="11"/>
      <c r="E437" s="12"/>
      <c r="F437" s="11"/>
      <c r="G437" s="12"/>
    </row>
    <row r="438" spans="1:7" x14ac:dyDescent="0.25">
      <c r="A438" s="9">
        <f>'Como usar'!$B$4+INT((ROW()-2)/6)</f>
        <v>46362</v>
      </c>
      <c r="B438" s="10" t="s">
        <v>11</v>
      </c>
      <c r="C438" s="11"/>
      <c r="D438" s="11"/>
      <c r="E438" s="12"/>
      <c r="F438" s="11"/>
      <c r="G438" s="12"/>
    </row>
    <row r="439" spans="1:7" x14ac:dyDescent="0.25">
      <c r="A439" s="9">
        <f>'Como usar'!$B$4+INT((ROW()-2)/6)</f>
        <v>46362</v>
      </c>
      <c r="B439" s="10" t="s">
        <v>12</v>
      </c>
      <c r="C439" s="11"/>
      <c r="D439" s="11"/>
      <c r="E439" s="12"/>
      <c r="F439" s="11"/>
      <c r="G439" s="12"/>
    </row>
    <row r="440" spans="1:7" x14ac:dyDescent="0.25">
      <c r="A440" s="9">
        <f>'Como usar'!$B$4+INT((ROW()-2)/6)</f>
        <v>46363</v>
      </c>
      <c r="B440" s="10" t="s">
        <v>7</v>
      </c>
      <c r="C440" s="11"/>
      <c r="D440" s="11"/>
      <c r="E440" s="12"/>
      <c r="F440" s="11"/>
      <c r="G440" s="12"/>
    </row>
    <row r="441" spans="1:7" x14ac:dyDescent="0.25">
      <c r="A441" s="9">
        <f>'Como usar'!$B$4+INT((ROW()-2)/6)</f>
        <v>46363</v>
      </c>
      <c r="B441" s="10" t="s">
        <v>8</v>
      </c>
      <c r="C441" s="11"/>
      <c r="D441" s="11"/>
      <c r="E441" s="12"/>
      <c r="F441" s="11"/>
      <c r="G441" s="12"/>
    </row>
    <row r="442" spans="1:7" x14ac:dyDescent="0.25">
      <c r="A442" s="9">
        <f>'Como usar'!$B$4+INT((ROW()-2)/6)</f>
        <v>46363</v>
      </c>
      <c r="B442" s="10" t="s">
        <v>9</v>
      </c>
      <c r="C442" s="11"/>
      <c r="D442" s="11"/>
      <c r="E442" s="12"/>
      <c r="F442" s="11"/>
      <c r="G442" s="12"/>
    </row>
    <row r="443" spans="1:7" x14ac:dyDescent="0.25">
      <c r="A443" s="9">
        <f>'Como usar'!$B$4+INT((ROW()-2)/6)</f>
        <v>46363</v>
      </c>
      <c r="B443" s="10" t="s">
        <v>10</v>
      </c>
      <c r="C443" s="11"/>
      <c r="D443" s="11"/>
      <c r="E443" s="12"/>
      <c r="F443" s="11"/>
      <c r="G443" s="12"/>
    </row>
    <row r="444" spans="1:7" x14ac:dyDescent="0.25">
      <c r="A444" s="9">
        <f>'Como usar'!$B$4+INT((ROW()-2)/6)</f>
        <v>46363</v>
      </c>
      <c r="B444" s="10" t="s">
        <v>11</v>
      </c>
      <c r="C444" s="11"/>
      <c r="D444" s="11"/>
      <c r="E444" s="12"/>
      <c r="F444" s="11"/>
      <c r="G444" s="12"/>
    </row>
    <row r="445" spans="1:7" x14ac:dyDescent="0.25">
      <c r="A445" s="9">
        <f>'Como usar'!$B$4+INT((ROW()-2)/6)</f>
        <v>46363</v>
      </c>
      <c r="B445" s="10" t="s">
        <v>12</v>
      </c>
      <c r="C445" s="11"/>
      <c r="D445" s="11"/>
      <c r="E445" s="12"/>
      <c r="F445" s="11"/>
      <c r="G445" s="12"/>
    </row>
    <row r="446" spans="1:7" x14ac:dyDescent="0.25">
      <c r="A446" s="9">
        <f>'Como usar'!$B$4+INT((ROW()-2)/6)</f>
        <v>46364</v>
      </c>
      <c r="B446" s="10" t="s">
        <v>7</v>
      </c>
      <c r="C446" s="11"/>
      <c r="D446" s="11"/>
      <c r="E446" s="12"/>
      <c r="F446" s="11"/>
      <c r="G446" s="12"/>
    </row>
    <row r="447" spans="1:7" x14ac:dyDescent="0.25">
      <c r="A447" s="9">
        <f>'Como usar'!$B$4+INT((ROW()-2)/6)</f>
        <v>46364</v>
      </c>
      <c r="B447" s="10" t="s">
        <v>8</v>
      </c>
      <c r="C447" s="11"/>
      <c r="D447" s="11"/>
      <c r="E447" s="12"/>
      <c r="F447" s="11"/>
      <c r="G447" s="12"/>
    </row>
    <row r="448" spans="1:7" x14ac:dyDescent="0.25">
      <c r="A448" s="9">
        <f>'Como usar'!$B$4+INT((ROW()-2)/6)</f>
        <v>46364</v>
      </c>
      <c r="B448" s="10" t="s">
        <v>9</v>
      </c>
      <c r="C448" s="11"/>
      <c r="D448" s="11"/>
      <c r="E448" s="12"/>
      <c r="F448" s="11"/>
      <c r="G448" s="12"/>
    </row>
    <row r="449" spans="1:7" x14ac:dyDescent="0.25">
      <c r="A449" s="9">
        <f>'Como usar'!$B$4+INT((ROW()-2)/6)</f>
        <v>46364</v>
      </c>
      <c r="B449" s="10" t="s">
        <v>10</v>
      </c>
      <c r="C449" s="11"/>
      <c r="D449" s="11"/>
      <c r="E449" s="12"/>
      <c r="F449" s="11"/>
      <c r="G449" s="12"/>
    </row>
    <row r="450" spans="1:7" x14ac:dyDescent="0.25">
      <c r="A450" s="9">
        <f>'Como usar'!$B$4+INT((ROW()-2)/6)</f>
        <v>46364</v>
      </c>
      <c r="B450" s="10" t="s">
        <v>11</v>
      </c>
      <c r="C450" s="11"/>
      <c r="D450" s="11"/>
      <c r="E450" s="12"/>
      <c r="F450" s="11"/>
      <c r="G450" s="12"/>
    </row>
    <row r="451" spans="1:7" x14ac:dyDescent="0.25">
      <c r="A451" s="9">
        <f>'Como usar'!$B$4+INT((ROW()-2)/6)</f>
        <v>46364</v>
      </c>
      <c r="B451" s="10" t="s">
        <v>12</v>
      </c>
      <c r="C451" s="11"/>
      <c r="D451" s="11"/>
      <c r="E451" s="12"/>
      <c r="F451" s="11"/>
      <c r="G451" s="12"/>
    </row>
    <row r="452" spans="1:7" x14ac:dyDescent="0.25">
      <c r="A452" s="9">
        <f>'Como usar'!$B$4+INT((ROW()-2)/6)</f>
        <v>46365</v>
      </c>
      <c r="B452" s="10" t="s">
        <v>7</v>
      </c>
      <c r="C452" s="11"/>
      <c r="D452" s="11"/>
      <c r="E452" s="12"/>
      <c r="F452" s="11"/>
      <c r="G452" s="12"/>
    </row>
    <row r="453" spans="1:7" x14ac:dyDescent="0.25">
      <c r="A453" s="9">
        <f>'Como usar'!$B$4+INT((ROW()-2)/6)</f>
        <v>46365</v>
      </c>
      <c r="B453" s="10" t="s">
        <v>8</v>
      </c>
      <c r="C453" s="11"/>
      <c r="D453" s="11"/>
      <c r="E453" s="12"/>
      <c r="F453" s="11"/>
      <c r="G453" s="12"/>
    </row>
    <row r="454" spans="1:7" x14ac:dyDescent="0.25">
      <c r="A454" s="9">
        <f>'Como usar'!$B$4+INT((ROW()-2)/6)</f>
        <v>46365</v>
      </c>
      <c r="B454" s="10" t="s">
        <v>9</v>
      </c>
      <c r="C454" s="11"/>
      <c r="D454" s="11"/>
      <c r="E454" s="12"/>
      <c r="F454" s="11"/>
      <c r="G454" s="12"/>
    </row>
    <row r="455" spans="1:7" x14ac:dyDescent="0.25">
      <c r="A455" s="9">
        <f>'Como usar'!$B$4+INT((ROW()-2)/6)</f>
        <v>46365</v>
      </c>
      <c r="B455" s="10" t="s">
        <v>10</v>
      </c>
      <c r="C455" s="11"/>
      <c r="D455" s="11"/>
      <c r="E455" s="12"/>
      <c r="F455" s="11"/>
      <c r="G455" s="12"/>
    </row>
    <row r="456" spans="1:7" x14ac:dyDescent="0.25">
      <c r="A456" s="9">
        <f>'Como usar'!$B$4+INT((ROW()-2)/6)</f>
        <v>46365</v>
      </c>
      <c r="B456" s="10" t="s">
        <v>11</v>
      </c>
      <c r="C456" s="11"/>
      <c r="D456" s="11"/>
      <c r="E456" s="12"/>
      <c r="F456" s="11"/>
      <c r="G456" s="12"/>
    </row>
    <row r="457" spans="1:7" x14ac:dyDescent="0.25">
      <c r="A457" s="9">
        <f>'Como usar'!$B$4+INT((ROW()-2)/6)</f>
        <v>46365</v>
      </c>
      <c r="B457" s="10" t="s">
        <v>12</v>
      </c>
      <c r="C457" s="11"/>
      <c r="D457" s="11"/>
      <c r="E457" s="12"/>
      <c r="F457" s="11"/>
      <c r="G457" s="12"/>
    </row>
    <row r="458" spans="1:7" x14ac:dyDescent="0.25">
      <c r="A458" s="9">
        <f>'Como usar'!$B$4+INT((ROW()-2)/6)</f>
        <v>46366</v>
      </c>
      <c r="B458" s="10" t="s">
        <v>7</v>
      </c>
      <c r="C458" s="11"/>
      <c r="D458" s="11"/>
      <c r="E458" s="12"/>
      <c r="F458" s="11"/>
      <c r="G458" s="12"/>
    </row>
    <row r="459" spans="1:7" x14ac:dyDescent="0.25">
      <c r="A459" s="9">
        <f>'Como usar'!$B$4+INT((ROW()-2)/6)</f>
        <v>46366</v>
      </c>
      <c r="B459" s="10" t="s">
        <v>8</v>
      </c>
      <c r="C459" s="11"/>
      <c r="D459" s="11"/>
      <c r="E459" s="12"/>
      <c r="F459" s="11"/>
      <c r="G459" s="12"/>
    </row>
    <row r="460" spans="1:7" x14ac:dyDescent="0.25">
      <c r="A460" s="9">
        <f>'Como usar'!$B$4+INT((ROW()-2)/6)</f>
        <v>46366</v>
      </c>
      <c r="B460" s="10" t="s">
        <v>9</v>
      </c>
      <c r="C460" s="11"/>
      <c r="D460" s="11"/>
      <c r="E460" s="12"/>
      <c r="F460" s="11"/>
      <c r="G460" s="12"/>
    </row>
    <row r="461" spans="1:7" x14ac:dyDescent="0.25">
      <c r="A461" s="9">
        <f>'Como usar'!$B$4+INT((ROW()-2)/6)</f>
        <v>46366</v>
      </c>
      <c r="B461" s="10" t="s">
        <v>10</v>
      </c>
      <c r="C461" s="11"/>
      <c r="D461" s="11"/>
      <c r="E461" s="12"/>
      <c r="F461" s="11"/>
      <c r="G461" s="12"/>
    </row>
    <row r="462" spans="1:7" x14ac:dyDescent="0.25">
      <c r="A462" s="9">
        <f>'Como usar'!$B$4+INT((ROW()-2)/6)</f>
        <v>46366</v>
      </c>
      <c r="B462" s="10" t="s">
        <v>11</v>
      </c>
      <c r="C462" s="11"/>
      <c r="D462" s="11"/>
      <c r="E462" s="12"/>
      <c r="F462" s="11"/>
      <c r="G462" s="12"/>
    </row>
    <row r="463" spans="1:7" x14ac:dyDescent="0.25">
      <c r="A463" s="9">
        <f>'Como usar'!$B$4+INT((ROW()-2)/6)</f>
        <v>46366</v>
      </c>
      <c r="B463" s="10" t="s">
        <v>12</v>
      </c>
      <c r="C463" s="11"/>
      <c r="D463" s="11"/>
      <c r="E463" s="12"/>
      <c r="F463" s="11"/>
      <c r="G463" s="12"/>
    </row>
    <row r="464" spans="1:7" x14ac:dyDescent="0.25">
      <c r="A464" s="9">
        <f>'Como usar'!$B$4+INT((ROW()-2)/6)</f>
        <v>46367</v>
      </c>
      <c r="B464" s="10" t="s">
        <v>7</v>
      </c>
      <c r="C464" s="11"/>
      <c r="D464" s="11"/>
      <c r="E464" s="12"/>
      <c r="F464" s="11"/>
      <c r="G464" s="12"/>
    </row>
    <row r="465" spans="1:7" x14ac:dyDescent="0.25">
      <c r="A465" s="9">
        <f>'Como usar'!$B$4+INT((ROW()-2)/6)</f>
        <v>46367</v>
      </c>
      <c r="B465" s="10" t="s">
        <v>8</v>
      </c>
      <c r="C465" s="11"/>
      <c r="D465" s="11"/>
      <c r="E465" s="12"/>
      <c r="F465" s="11"/>
      <c r="G465" s="12"/>
    </row>
    <row r="466" spans="1:7" x14ac:dyDescent="0.25">
      <c r="A466" s="9">
        <f>'Como usar'!$B$4+INT((ROW()-2)/6)</f>
        <v>46367</v>
      </c>
      <c r="B466" s="10" t="s">
        <v>9</v>
      </c>
      <c r="C466" s="11"/>
      <c r="D466" s="11"/>
      <c r="E466" s="12"/>
      <c r="F466" s="11"/>
      <c r="G466" s="12"/>
    </row>
    <row r="467" spans="1:7" x14ac:dyDescent="0.25">
      <c r="A467" s="9">
        <f>'Como usar'!$B$4+INT((ROW()-2)/6)</f>
        <v>46367</v>
      </c>
      <c r="B467" s="10" t="s">
        <v>10</v>
      </c>
      <c r="C467" s="11"/>
      <c r="D467" s="11"/>
      <c r="E467" s="12"/>
      <c r="F467" s="11"/>
      <c r="G467" s="12"/>
    </row>
    <row r="468" spans="1:7" x14ac:dyDescent="0.25">
      <c r="A468" s="9">
        <f>'Como usar'!$B$4+INT((ROW()-2)/6)</f>
        <v>46367</v>
      </c>
      <c r="B468" s="10" t="s">
        <v>11</v>
      </c>
      <c r="C468" s="11"/>
      <c r="D468" s="11"/>
      <c r="E468" s="12"/>
      <c r="F468" s="11"/>
      <c r="G468" s="12"/>
    </row>
    <row r="469" spans="1:7" x14ac:dyDescent="0.25">
      <c r="A469" s="9">
        <f>'Como usar'!$B$4+INT((ROW()-2)/6)</f>
        <v>46367</v>
      </c>
      <c r="B469" s="10" t="s">
        <v>12</v>
      </c>
      <c r="C469" s="11"/>
      <c r="D469" s="11"/>
      <c r="E469" s="12"/>
      <c r="F469" s="11"/>
      <c r="G469" s="12"/>
    </row>
    <row r="470" spans="1:7" x14ac:dyDescent="0.25">
      <c r="A470" s="9">
        <f>'Como usar'!$B$4+INT((ROW()-2)/6)</f>
        <v>46368</v>
      </c>
      <c r="B470" s="10" t="s">
        <v>7</v>
      </c>
      <c r="C470" s="11"/>
      <c r="D470" s="11"/>
      <c r="E470" s="12"/>
      <c r="F470" s="11"/>
      <c r="G470" s="12"/>
    </row>
    <row r="471" spans="1:7" x14ac:dyDescent="0.25">
      <c r="A471" s="9">
        <f>'Como usar'!$B$4+INT((ROW()-2)/6)</f>
        <v>46368</v>
      </c>
      <c r="B471" s="10" t="s">
        <v>8</v>
      </c>
      <c r="C471" s="11"/>
      <c r="D471" s="11"/>
      <c r="E471" s="12"/>
      <c r="F471" s="11"/>
      <c r="G471" s="12"/>
    </row>
    <row r="472" spans="1:7" x14ac:dyDescent="0.25">
      <c r="A472" s="9">
        <f>'Como usar'!$B$4+INT((ROW()-2)/6)</f>
        <v>46368</v>
      </c>
      <c r="B472" s="10" t="s">
        <v>9</v>
      </c>
      <c r="C472" s="11"/>
      <c r="D472" s="11"/>
      <c r="E472" s="12"/>
      <c r="F472" s="11"/>
      <c r="G472" s="12"/>
    </row>
    <row r="473" spans="1:7" x14ac:dyDescent="0.25">
      <c r="A473" s="9">
        <f>'Como usar'!$B$4+INT((ROW()-2)/6)</f>
        <v>46368</v>
      </c>
      <c r="B473" s="10" t="s">
        <v>10</v>
      </c>
      <c r="C473" s="11"/>
      <c r="D473" s="11"/>
      <c r="E473" s="12"/>
      <c r="F473" s="11"/>
      <c r="G473" s="12"/>
    </row>
    <row r="474" spans="1:7" x14ac:dyDescent="0.25">
      <c r="A474" s="9">
        <f>'Como usar'!$B$4+INT((ROW()-2)/6)</f>
        <v>46368</v>
      </c>
      <c r="B474" s="10" t="s">
        <v>11</v>
      </c>
      <c r="C474" s="11"/>
      <c r="D474" s="11"/>
      <c r="E474" s="12"/>
      <c r="F474" s="11"/>
      <c r="G474" s="12"/>
    </row>
    <row r="475" spans="1:7" x14ac:dyDescent="0.25">
      <c r="A475" s="9">
        <f>'Como usar'!$B$4+INT((ROW()-2)/6)</f>
        <v>46368</v>
      </c>
      <c r="B475" s="10" t="s">
        <v>12</v>
      </c>
      <c r="C475" s="11"/>
      <c r="D475" s="11"/>
      <c r="E475" s="12"/>
      <c r="F475" s="11"/>
      <c r="G475" s="12"/>
    </row>
    <row r="476" spans="1:7" x14ac:dyDescent="0.25">
      <c r="A476" s="9">
        <f>'Como usar'!$B$4+INT((ROW()-2)/6)</f>
        <v>46369</v>
      </c>
      <c r="B476" s="10" t="s">
        <v>7</v>
      </c>
      <c r="C476" s="11"/>
      <c r="D476" s="11"/>
      <c r="E476" s="12"/>
      <c r="F476" s="11"/>
      <c r="G476" s="12"/>
    </row>
    <row r="477" spans="1:7" x14ac:dyDescent="0.25">
      <c r="A477" s="9">
        <f>'Como usar'!$B$4+INT((ROW()-2)/6)</f>
        <v>46369</v>
      </c>
      <c r="B477" s="10" t="s">
        <v>8</v>
      </c>
      <c r="C477" s="11"/>
      <c r="D477" s="11"/>
      <c r="E477" s="12"/>
      <c r="F477" s="11"/>
      <c r="G477" s="12"/>
    </row>
    <row r="478" spans="1:7" x14ac:dyDescent="0.25">
      <c r="A478" s="9">
        <f>'Como usar'!$B$4+INT((ROW()-2)/6)</f>
        <v>46369</v>
      </c>
      <c r="B478" s="10" t="s">
        <v>9</v>
      </c>
      <c r="C478" s="11"/>
      <c r="D478" s="11"/>
      <c r="E478" s="12"/>
      <c r="F478" s="11"/>
      <c r="G478" s="12"/>
    </row>
    <row r="479" spans="1:7" x14ac:dyDescent="0.25">
      <c r="A479" s="9">
        <f>'Como usar'!$B$4+INT((ROW()-2)/6)</f>
        <v>46369</v>
      </c>
      <c r="B479" s="10" t="s">
        <v>10</v>
      </c>
      <c r="C479" s="11"/>
      <c r="D479" s="11"/>
      <c r="E479" s="12"/>
      <c r="F479" s="11"/>
      <c r="G479" s="12"/>
    </row>
    <row r="480" spans="1:7" x14ac:dyDescent="0.25">
      <c r="A480" s="9">
        <f>'Como usar'!$B$4+INT((ROW()-2)/6)</f>
        <v>46369</v>
      </c>
      <c r="B480" s="10" t="s">
        <v>11</v>
      </c>
      <c r="C480" s="11"/>
      <c r="D480" s="11"/>
      <c r="E480" s="12"/>
      <c r="F480" s="11"/>
      <c r="G480" s="12"/>
    </row>
    <row r="481" spans="1:7" x14ac:dyDescent="0.25">
      <c r="A481" s="9">
        <f>'Como usar'!$B$4+INT((ROW()-2)/6)</f>
        <v>46369</v>
      </c>
      <c r="B481" s="10" t="s">
        <v>12</v>
      </c>
      <c r="C481" s="11"/>
      <c r="D481" s="11"/>
      <c r="E481" s="12"/>
      <c r="F481" s="11"/>
      <c r="G481" s="12"/>
    </row>
    <row r="482" spans="1:7" x14ac:dyDescent="0.25">
      <c r="A482" s="9">
        <f>'Como usar'!$B$4+INT((ROW()-2)/6)</f>
        <v>46370</v>
      </c>
      <c r="B482" s="10" t="s">
        <v>7</v>
      </c>
      <c r="C482" s="11"/>
      <c r="D482" s="11"/>
      <c r="E482" s="12"/>
      <c r="F482" s="11"/>
      <c r="G482" s="12"/>
    </row>
    <row r="483" spans="1:7" x14ac:dyDescent="0.25">
      <c r="A483" s="9">
        <f>'Como usar'!$B$4+INT((ROW()-2)/6)</f>
        <v>46370</v>
      </c>
      <c r="B483" s="10" t="s">
        <v>8</v>
      </c>
      <c r="C483" s="11"/>
      <c r="D483" s="11"/>
      <c r="E483" s="12"/>
      <c r="F483" s="11"/>
      <c r="G483" s="12"/>
    </row>
    <row r="484" spans="1:7" x14ac:dyDescent="0.25">
      <c r="A484" s="9">
        <f>'Como usar'!$B$4+INT((ROW()-2)/6)</f>
        <v>46370</v>
      </c>
      <c r="B484" s="10" t="s">
        <v>9</v>
      </c>
      <c r="C484" s="11"/>
      <c r="D484" s="11"/>
      <c r="E484" s="12"/>
      <c r="F484" s="11"/>
      <c r="G484" s="12"/>
    </row>
    <row r="485" spans="1:7" x14ac:dyDescent="0.25">
      <c r="A485" s="9">
        <f>'Como usar'!$B$4+INT((ROW()-2)/6)</f>
        <v>46370</v>
      </c>
      <c r="B485" s="10" t="s">
        <v>10</v>
      </c>
      <c r="C485" s="11"/>
      <c r="D485" s="11"/>
      <c r="E485" s="12"/>
      <c r="F485" s="11"/>
      <c r="G485" s="12"/>
    </row>
    <row r="486" spans="1:7" x14ac:dyDescent="0.25">
      <c r="A486" s="9">
        <f>'Como usar'!$B$4+INT((ROW()-2)/6)</f>
        <v>46370</v>
      </c>
      <c r="B486" s="10" t="s">
        <v>11</v>
      </c>
      <c r="C486" s="11"/>
      <c r="D486" s="11"/>
      <c r="E486" s="12"/>
      <c r="F486" s="11"/>
      <c r="G486" s="12"/>
    </row>
    <row r="487" spans="1:7" x14ac:dyDescent="0.25">
      <c r="A487" s="9">
        <f>'Como usar'!$B$4+INT((ROW()-2)/6)</f>
        <v>46370</v>
      </c>
      <c r="B487" s="10" t="s">
        <v>12</v>
      </c>
      <c r="C487" s="11"/>
      <c r="D487" s="11"/>
      <c r="E487" s="12"/>
      <c r="F487" s="11"/>
      <c r="G487" s="12"/>
    </row>
    <row r="488" spans="1:7" x14ac:dyDescent="0.25">
      <c r="A488" s="9">
        <f>'Como usar'!$B$4+INT((ROW()-2)/6)</f>
        <v>46371</v>
      </c>
      <c r="B488" s="10" t="s">
        <v>7</v>
      </c>
      <c r="C488" s="11"/>
      <c r="D488" s="11"/>
      <c r="E488" s="12"/>
      <c r="F488" s="11"/>
      <c r="G488" s="12"/>
    </row>
    <row r="489" spans="1:7" x14ac:dyDescent="0.25">
      <c r="A489" s="9">
        <f>'Como usar'!$B$4+INT((ROW()-2)/6)</f>
        <v>46371</v>
      </c>
      <c r="B489" s="10" t="s">
        <v>8</v>
      </c>
      <c r="C489" s="11"/>
      <c r="D489" s="11"/>
      <c r="E489" s="12"/>
      <c r="F489" s="11"/>
      <c r="G489" s="12"/>
    </row>
    <row r="490" spans="1:7" x14ac:dyDescent="0.25">
      <c r="A490" s="9">
        <f>'Como usar'!$B$4+INT((ROW()-2)/6)</f>
        <v>46371</v>
      </c>
      <c r="B490" s="10" t="s">
        <v>9</v>
      </c>
      <c r="C490" s="11"/>
      <c r="D490" s="11"/>
      <c r="E490" s="12"/>
      <c r="F490" s="11"/>
      <c r="G490" s="12"/>
    </row>
    <row r="491" spans="1:7" x14ac:dyDescent="0.25">
      <c r="A491" s="9">
        <f>'Como usar'!$B$4+INT((ROW()-2)/6)</f>
        <v>46371</v>
      </c>
      <c r="B491" s="10" t="s">
        <v>10</v>
      </c>
      <c r="C491" s="11"/>
      <c r="D491" s="11"/>
      <c r="E491" s="12"/>
      <c r="F491" s="11"/>
      <c r="G491" s="12"/>
    </row>
    <row r="492" spans="1:7" x14ac:dyDescent="0.25">
      <c r="A492" s="9">
        <f>'Como usar'!$B$4+INT((ROW()-2)/6)</f>
        <v>46371</v>
      </c>
      <c r="B492" s="10" t="s">
        <v>11</v>
      </c>
      <c r="C492" s="11"/>
      <c r="D492" s="11"/>
      <c r="E492" s="12"/>
      <c r="F492" s="11"/>
      <c r="G492" s="12"/>
    </row>
    <row r="493" spans="1:7" x14ac:dyDescent="0.25">
      <c r="A493" s="9">
        <f>'Como usar'!$B$4+INT((ROW()-2)/6)</f>
        <v>46371</v>
      </c>
      <c r="B493" s="10" t="s">
        <v>12</v>
      </c>
      <c r="C493" s="11"/>
      <c r="D493" s="11"/>
      <c r="E493" s="12"/>
      <c r="F493" s="11"/>
      <c r="G493" s="12"/>
    </row>
    <row r="494" spans="1:7" x14ac:dyDescent="0.25">
      <c r="A494" s="9">
        <f>'Como usar'!$B$4+INT((ROW()-2)/6)</f>
        <v>46372</v>
      </c>
      <c r="B494" s="10" t="s">
        <v>7</v>
      </c>
      <c r="C494" s="11"/>
      <c r="D494" s="11"/>
      <c r="E494" s="12"/>
      <c r="F494" s="11"/>
      <c r="G494" s="12"/>
    </row>
    <row r="495" spans="1:7" x14ac:dyDescent="0.25">
      <c r="A495" s="9">
        <f>'Como usar'!$B$4+INT((ROW()-2)/6)</f>
        <v>46372</v>
      </c>
      <c r="B495" s="10" t="s">
        <v>8</v>
      </c>
      <c r="C495" s="11"/>
      <c r="D495" s="11"/>
      <c r="E495" s="12"/>
      <c r="F495" s="11"/>
      <c r="G495" s="12"/>
    </row>
    <row r="496" spans="1:7" x14ac:dyDescent="0.25">
      <c r="A496" s="9">
        <f>'Como usar'!$B$4+INT((ROW()-2)/6)</f>
        <v>46372</v>
      </c>
      <c r="B496" s="10" t="s">
        <v>9</v>
      </c>
      <c r="C496" s="11"/>
      <c r="D496" s="11"/>
      <c r="E496" s="12"/>
      <c r="F496" s="11"/>
      <c r="G496" s="12"/>
    </row>
    <row r="497" spans="1:7" x14ac:dyDescent="0.25">
      <c r="A497" s="9">
        <f>'Como usar'!$B$4+INT((ROW()-2)/6)</f>
        <v>46372</v>
      </c>
      <c r="B497" s="10" t="s">
        <v>10</v>
      </c>
      <c r="C497" s="11"/>
      <c r="D497" s="11"/>
      <c r="E497" s="12"/>
      <c r="F497" s="11"/>
      <c r="G497" s="12"/>
    </row>
    <row r="498" spans="1:7" x14ac:dyDescent="0.25">
      <c r="A498" s="9">
        <f>'Como usar'!$B$4+INT((ROW()-2)/6)</f>
        <v>46372</v>
      </c>
      <c r="B498" s="10" t="s">
        <v>11</v>
      </c>
      <c r="C498" s="11"/>
      <c r="D498" s="11"/>
      <c r="E498" s="12"/>
      <c r="F498" s="11"/>
      <c r="G498" s="12"/>
    </row>
    <row r="499" spans="1:7" x14ac:dyDescent="0.25">
      <c r="A499" s="9">
        <f>'Como usar'!$B$4+INT((ROW()-2)/6)</f>
        <v>46372</v>
      </c>
      <c r="B499" s="10" t="s">
        <v>12</v>
      </c>
      <c r="C499" s="11"/>
      <c r="D499" s="11"/>
      <c r="E499" s="12"/>
      <c r="F499" s="11"/>
      <c r="G499" s="12"/>
    </row>
    <row r="500" spans="1:7" x14ac:dyDescent="0.25">
      <c r="A500" s="9">
        <f>'Como usar'!$B$4+INT((ROW()-2)/6)</f>
        <v>46373</v>
      </c>
      <c r="B500" s="10" t="s">
        <v>7</v>
      </c>
      <c r="C500" s="11"/>
      <c r="D500" s="11"/>
      <c r="E500" s="12"/>
      <c r="F500" s="11"/>
      <c r="G500" s="12"/>
    </row>
    <row r="501" spans="1:7" x14ac:dyDescent="0.25">
      <c r="A501" s="9">
        <f>'Como usar'!$B$4+INT((ROW()-2)/6)</f>
        <v>46373</v>
      </c>
      <c r="B501" s="10" t="s">
        <v>8</v>
      </c>
      <c r="C501" s="11"/>
      <c r="D501" s="11"/>
      <c r="E501" s="12"/>
      <c r="F501" s="11"/>
      <c r="G501" s="12"/>
    </row>
    <row r="502" spans="1:7" x14ac:dyDescent="0.25">
      <c r="A502" s="9">
        <f>'Como usar'!$B$4+INT((ROW()-2)/6)</f>
        <v>46373</v>
      </c>
      <c r="B502" s="10" t="s">
        <v>9</v>
      </c>
      <c r="C502" s="11"/>
      <c r="D502" s="11"/>
      <c r="E502" s="12"/>
      <c r="F502" s="11"/>
      <c r="G502" s="12"/>
    </row>
    <row r="503" spans="1:7" x14ac:dyDescent="0.25">
      <c r="A503" s="9">
        <f>'Como usar'!$B$4+INT((ROW()-2)/6)</f>
        <v>46373</v>
      </c>
      <c r="B503" s="10" t="s">
        <v>10</v>
      </c>
      <c r="C503" s="11"/>
      <c r="D503" s="11"/>
      <c r="E503" s="12"/>
      <c r="F503" s="11"/>
      <c r="G503" s="12"/>
    </row>
    <row r="504" spans="1:7" x14ac:dyDescent="0.25">
      <c r="A504" s="9">
        <f>'Como usar'!$B$4+INT((ROW()-2)/6)</f>
        <v>46373</v>
      </c>
      <c r="B504" s="10" t="s">
        <v>11</v>
      </c>
      <c r="C504" s="11"/>
      <c r="D504" s="11"/>
      <c r="E504" s="12"/>
      <c r="F504" s="11"/>
      <c r="G504" s="12"/>
    </row>
    <row r="505" spans="1:7" x14ac:dyDescent="0.25">
      <c r="A505" s="9">
        <f>'Como usar'!$B$4+INT((ROW()-2)/6)</f>
        <v>46373</v>
      </c>
      <c r="B505" s="10" t="s">
        <v>12</v>
      </c>
      <c r="C505" s="11"/>
      <c r="D505" s="11"/>
      <c r="E505" s="12"/>
      <c r="F505" s="11"/>
      <c r="G505" s="12"/>
    </row>
    <row r="506" spans="1:7" x14ac:dyDescent="0.25">
      <c r="A506" s="9">
        <f>'Como usar'!$B$4+INT((ROW()-2)/6)</f>
        <v>46374</v>
      </c>
      <c r="B506" s="10" t="s">
        <v>7</v>
      </c>
      <c r="C506" s="11"/>
      <c r="D506" s="11"/>
      <c r="E506" s="12"/>
      <c r="F506" s="11"/>
      <c r="G506" s="12"/>
    </row>
    <row r="507" spans="1:7" x14ac:dyDescent="0.25">
      <c r="A507" s="9">
        <f>'Como usar'!$B$4+INT((ROW()-2)/6)</f>
        <v>46374</v>
      </c>
      <c r="B507" s="10" t="s">
        <v>8</v>
      </c>
      <c r="C507" s="11"/>
      <c r="D507" s="11"/>
      <c r="E507" s="12"/>
      <c r="F507" s="11"/>
      <c r="G507" s="12"/>
    </row>
    <row r="508" spans="1:7" x14ac:dyDescent="0.25">
      <c r="A508" s="9">
        <f>'Como usar'!$B$4+INT((ROW()-2)/6)</f>
        <v>46374</v>
      </c>
      <c r="B508" s="10" t="s">
        <v>9</v>
      </c>
      <c r="C508" s="11"/>
      <c r="D508" s="11"/>
      <c r="E508" s="12"/>
      <c r="F508" s="11"/>
      <c r="G508" s="12"/>
    </row>
    <row r="509" spans="1:7" x14ac:dyDescent="0.25">
      <c r="A509" s="9">
        <f>'Como usar'!$B$4+INT((ROW()-2)/6)</f>
        <v>46374</v>
      </c>
      <c r="B509" s="10" t="s">
        <v>10</v>
      </c>
      <c r="C509" s="11"/>
      <c r="D509" s="11"/>
      <c r="E509" s="12"/>
      <c r="F509" s="11"/>
      <c r="G509" s="12"/>
    </row>
    <row r="510" spans="1:7" x14ac:dyDescent="0.25">
      <c r="A510" s="9">
        <f>'Como usar'!$B$4+INT((ROW()-2)/6)</f>
        <v>46374</v>
      </c>
      <c r="B510" s="10" t="s">
        <v>11</v>
      </c>
      <c r="C510" s="11"/>
      <c r="D510" s="11"/>
      <c r="E510" s="12"/>
      <c r="F510" s="11"/>
      <c r="G510" s="12"/>
    </row>
    <row r="511" spans="1:7" x14ac:dyDescent="0.25">
      <c r="A511" s="9">
        <f>'Como usar'!$B$4+INT((ROW()-2)/6)</f>
        <v>46374</v>
      </c>
      <c r="B511" s="10" t="s">
        <v>12</v>
      </c>
      <c r="C511" s="11"/>
      <c r="D511" s="11"/>
      <c r="E511" s="12"/>
      <c r="F511" s="11"/>
      <c r="G511" s="12"/>
    </row>
    <row r="512" spans="1:7" x14ac:dyDescent="0.25">
      <c r="A512" s="9">
        <f>'Como usar'!$B$4+INT((ROW()-2)/6)</f>
        <v>46375</v>
      </c>
      <c r="B512" s="10" t="s">
        <v>7</v>
      </c>
      <c r="C512" s="11"/>
      <c r="D512" s="11"/>
      <c r="E512" s="12"/>
      <c r="F512" s="11"/>
      <c r="G512" s="12"/>
    </row>
    <row r="513" spans="1:7" x14ac:dyDescent="0.25">
      <c r="A513" s="9">
        <f>'Como usar'!$B$4+INT((ROW()-2)/6)</f>
        <v>46375</v>
      </c>
      <c r="B513" s="10" t="s">
        <v>8</v>
      </c>
      <c r="C513" s="11"/>
      <c r="D513" s="11"/>
      <c r="E513" s="12"/>
      <c r="F513" s="11"/>
      <c r="G513" s="12"/>
    </row>
    <row r="514" spans="1:7" x14ac:dyDescent="0.25">
      <c r="A514" s="9">
        <f>'Como usar'!$B$4+INT((ROW()-2)/6)</f>
        <v>46375</v>
      </c>
      <c r="B514" s="10" t="s">
        <v>9</v>
      </c>
      <c r="C514" s="11"/>
      <c r="D514" s="11"/>
      <c r="E514" s="12"/>
      <c r="F514" s="11"/>
      <c r="G514" s="12"/>
    </row>
    <row r="515" spans="1:7" x14ac:dyDescent="0.25">
      <c r="A515" s="9">
        <f>'Como usar'!$B$4+INT((ROW()-2)/6)</f>
        <v>46375</v>
      </c>
      <c r="B515" s="10" t="s">
        <v>10</v>
      </c>
      <c r="C515" s="11"/>
      <c r="D515" s="11"/>
      <c r="E515" s="12"/>
      <c r="F515" s="11"/>
      <c r="G515" s="12"/>
    </row>
    <row r="516" spans="1:7" x14ac:dyDescent="0.25">
      <c r="A516" s="9">
        <f>'Como usar'!$B$4+INT((ROW()-2)/6)</f>
        <v>46375</v>
      </c>
      <c r="B516" s="10" t="s">
        <v>11</v>
      </c>
      <c r="C516" s="11"/>
      <c r="D516" s="11"/>
      <c r="E516" s="12"/>
      <c r="F516" s="11"/>
      <c r="G516" s="12"/>
    </row>
    <row r="517" spans="1:7" x14ac:dyDescent="0.25">
      <c r="A517" s="9">
        <f>'Como usar'!$B$4+INT((ROW()-2)/6)</f>
        <v>46375</v>
      </c>
      <c r="B517" s="10" t="s">
        <v>12</v>
      </c>
      <c r="C517" s="11"/>
      <c r="D517" s="11"/>
      <c r="E517" s="12"/>
      <c r="F517" s="11"/>
      <c r="G517" s="12"/>
    </row>
    <row r="518" spans="1:7" x14ac:dyDescent="0.25">
      <c r="A518" s="9">
        <f>'Como usar'!$B$4+INT((ROW()-2)/6)</f>
        <v>46376</v>
      </c>
      <c r="B518" s="10" t="s">
        <v>7</v>
      </c>
      <c r="C518" s="11"/>
      <c r="D518" s="11"/>
      <c r="E518" s="12"/>
      <c r="F518" s="11"/>
      <c r="G518" s="12"/>
    </row>
    <row r="519" spans="1:7" x14ac:dyDescent="0.25">
      <c r="A519" s="9">
        <f>'Como usar'!$B$4+INT((ROW()-2)/6)</f>
        <v>46376</v>
      </c>
      <c r="B519" s="10" t="s">
        <v>8</v>
      </c>
      <c r="C519" s="11"/>
      <c r="D519" s="11"/>
      <c r="E519" s="12"/>
      <c r="F519" s="11"/>
      <c r="G519" s="12"/>
    </row>
    <row r="520" spans="1:7" x14ac:dyDescent="0.25">
      <c r="A520" s="9">
        <f>'Como usar'!$B$4+INT((ROW()-2)/6)</f>
        <v>46376</v>
      </c>
      <c r="B520" s="10" t="s">
        <v>9</v>
      </c>
      <c r="C520" s="11"/>
      <c r="D520" s="11"/>
      <c r="E520" s="12"/>
      <c r="F520" s="11"/>
      <c r="G520" s="12"/>
    </row>
    <row r="521" spans="1:7" x14ac:dyDescent="0.25">
      <c r="A521" s="9">
        <f>'Como usar'!$B$4+INT((ROW()-2)/6)</f>
        <v>46376</v>
      </c>
      <c r="B521" s="10" t="s">
        <v>10</v>
      </c>
      <c r="C521" s="11"/>
      <c r="D521" s="11"/>
      <c r="E521" s="12"/>
      <c r="F521" s="11"/>
      <c r="G521" s="12"/>
    </row>
    <row r="522" spans="1:7" x14ac:dyDescent="0.25">
      <c r="A522" s="9">
        <f>'Como usar'!$B$4+INT((ROW()-2)/6)</f>
        <v>46376</v>
      </c>
      <c r="B522" s="10" t="s">
        <v>11</v>
      </c>
      <c r="C522" s="11"/>
      <c r="D522" s="11"/>
      <c r="E522" s="12"/>
      <c r="F522" s="11"/>
      <c r="G522" s="12"/>
    </row>
    <row r="523" spans="1:7" x14ac:dyDescent="0.25">
      <c r="A523" s="9">
        <f>'Como usar'!$B$4+INT((ROW()-2)/6)</f>
        <v>46376</v>
      </c>
      <c r="B523" s="10" t="s">
        <v>12</v>
      </c>
      <c r="C523" s="11"/>
      <c r="D523" s="11"/>
      <c r="E523" s="12"/>
      <c r="F523" s="11"/>
      <c r="G523" s="12"/>
    </row>
    <row r="524" spans="1:7" x14ac:dyDescent="0.25">
      <c r="A524" s="9">
        <f>'Como usar'!$B$4+INT((ROW()-2)/6)</f>
        <v>46377</v>
      </c>
      <c r="B524" s="10" t="s">
        <v>7</v>
      </c>
      <c r="C524" s="11"/>
      <c r="D524" s="11"/>
      <c r="E524" s="12"/>
      <c r="F524" s="11"/>
      <c r="G524" s="12"/>
    </row>
    <row r="525" spans="1:7" x14ac:dyDescent="0.25">
      <c r="A525" s="9">
        <f>'Como usar'!$B$4+INT((ROW()-2)/6)</f>
        <v>46377</v>
      </c>
      <c r="B525" s="10" t="s">
        <v>8</v>
      </c>
      <c r="C525" s="11"/>
      <c r="D525" s="11"/>
      <c r="E525" s="12"/>
      <c r="F525" s="11"/>
      <c r="G525" s="12"/>
    </row>
    <row r="526" spans="1:7" x14ac:dyDescent="0.25">
      <c r="A526" s="9">
        <f>'Como usar'!$B$4+INT((ROW()-2)/6)</f>
        <v>46377</v>
      </c>
      <c r="B526" s="10" t="s">
        <v>9</v>
      </c>
      <c r="C526" s="11"/>
      <c r="D526" s="11"/>
      <c r="E526" s="12"/>
      <c r="F526" s="11"/>
      <c r="G526" s="12"/>
    </row>
    <row r="527" spans="1:7" x14ac:dyDescent="0.25">
      <c r="A527" s="9">
        <f>'Como usar'!$B$4+INT((ROW()-2)/6)</f>
        <v>46377</v>
      </c>
      <c r="B527" s="10" t="s">
        <v>10</v>
      </c>
      <c r="C527" s="11"/>
      <c r="D527" s="11"/>
      <c r="E527" s="12"/>
      <c r="F527" s="11"/>
      <c r="G527" s="12"/>
    </row>
    <row r="528" spans="1:7" x14ac:dyDescent="0.25">
      <c r="A528" s="9">
        <f>'Como usar'!$B$4+INT((ROW()-2)/6)</f>
        <v>46377</v>
      </c>
      <c r="B528" s="10" t="s">
        <v>11</v>
      </c>
      <c r="C528" s="11"/>
      <c r="D528" s="11"/>
      <c r="E528" s="12"/>
      <c r="F528" s="11"/>
      <c r="G528" s="12"/>
    </row>
    <row r="529" spans="1:7" x14ac:dyDescent="0.25">
      <c r="A529" s="9">
        <f>'Como usar'!$B$4+INT((ROW()-2)/6)</f>
        <v>46377</v>
      </c>
      <c r="B529" s="10" t="s">
        <v>12</v>
      </c>
      <c r="C529" s="11"/>
      <c r="D529" s="11"/>
      <c r="E529" s="12"/>
      <c r="F529" s="11"/>
      <c r="G529" s="12"/>
    </row>
    <row r="530" spans="1:7" x14ac:dyDescent="0.25">
      <c r="A530" s="9">
        <f>'Como usar'!$B$4+INT((ROW()-2)/6)</f>
        <v>46378</v>
      </c>
      <c r="B530" s="10" t="s">
        <v>7</v>
      </c>
      <c r="C530" s="11"/>
      <c r="D530" s="11"/>
      <c r="E530" s="12"/>
      <c r="F530" s="11"/>
      <c r="G530" s="12"/>
    </row>
    <row r="531" spans="1:7" x14ac:dyDescent="0.25">
      <c r="A531" s="9">
        <f>'Como usar'!$B$4+INT((ROW()-2)/6)</f>
        <v>46378</v>
      </c>
      <c r="B531" s="10" t="s">
        <v>8</v>
      </c>
      <c r="C531" s="11"/>
      <c r="D531" s="11"/>
      <c r="E531" s="12"/>
      <c r="F531" s="11"/>
      <c r="G531" s="12"/>
    </row>
    <row r="532" spans="1:7" x14ac:dyDescent="0.25">
      <c r="A532" s="9">
        <f>'Como usar'!$B$4+INT((ROW()-2)/6)</f>
        <v>46378</v>
      </c>
      <c r="B532" s="10" t="s">
        <v>9</v>
      </c>
      <c r="C532" s="11"/>
      <c r="D532" s="11"/>
      <c r="E532" s="12"/>
      <c r="F532" s="11"/>
      <c r="G532" s="12"/>
    </row>
    <row r="533" spans="1:7" x14ac:dyDescent="0.25">
      <c r="A533" s="9">
        <f>'Como usar'!$B$4+INT((ROW()-2)/6)</f>
        <v>46378</v>
      </c>
      <c r="B533" s="10" t="s">
        <v>10</v>
      </c>
      <c r="C533" s="11"/>
      <c r="D533" s="11"/>
      <c r="E533" s="12"/>
      <c r="F533" s="11"/>
      <c r="G533" s="12"/>
    </row>
    <row r="534" spans="1:7" x14ac:dyDescent="0.25">
      <c r="A534" s="9">
        <f>'Como usar'!$B$4+INT((ROW()-2)/6)</f>
        <v>46378</v>
      </c>
      <c r="B534" s="10" t="s">
        <v>11</v>
      </c>
      <c r="C534" s="11"/>
      <c r="D534" s="11"/>
      <c r="E534" s="12"/>
      <c r="F534" s="11"/>
      <c r="G534" s="12"/>
    </row>
    <row r="535" spans="1:7" x14ac:dyDescent="0.25">
      <c r="A535" s="9">
        <f>'Como usar'!$B$4+INT((ROW()-2)/6)</f>
        <v>46378</v>
      </c>
      <c r="B535" s="10" t="s">
        <v>12</v>
      </c>
      <c r="C535" s="11"/>
      <c r="D535" s="11"/>
      <c r="E535" s="12"/>
      <c r="F535" s="11"/>
      <c r="G535" s="12"/>
    </row>
    <row r="536" spans="1:7" x14ac:dyDescent="0.25">
      <c r="A536" s="9">
        <f>'Como usar'!$B$4+INT((ROW()-2)/6)</f>
        <v>46379</v>
      </c>
      <c r="B536" s="10" t="s">
        <v>7</v>
      </c>
      <c r="C536" s="11"/>
      <c r="D536" s="11"/>
      <c r="E536" s="12"/>
      <c r="F536" s="11"/>
      <c r="G536" s="12"/>
    </row>
    <row r="537" spans="1:7" x14ac:dyDescent="0.25">
      <c r="A537" s="9">
        <f>'Como usar'!$B$4+INT((ROW()-2)/6)</f>
        <v>46379</v>
      </c>
      <c r="B537" s="10" t="s">
        <v>8</v>
      </c>
      <c r="C537" s="11"/>
      <c r="D537" s="11"/>
      <c r="E537" s="12"/>
      <c r="F537" s="11"/>
      <c r="G537" s="12"/>
    </row>
    <row r="538" spans="1:7" x14ac:dyDescent="0.25">
      <c r="A538" s="9">
        <f>'Como usar'!$B$4+INT((ROW()-2)/6)</f>
        <v>46379</v>
      </c>
      <c r="B538" s="10" t="s">
        <v>9</v>
      </c>
      <c r="C538" s="11"/>
      <c r="D538" s="11"/>
      <c r="E538" s="12"/>
      <c r="F538" s="11"/>
      <c r="G538" s="12"/>
    </row>
    <row r="539" spans="1:7" x14ac:dyDescent="0.25">
      <c r="A539" s="9">
        <f>'Como usar'!$B$4+INT((ROW()-2)/6)</f>
        <v>46379</v>
      </c>
      <c r="B539" s="10" t="s">
        <v>10</v>
      </c>
      <c r="C539" s="11"/>
      <c r="D539" s="11"/>
      <c r="E539" s="12"/>
      <c r="F539" s="11"/>
      <c r="G539" s="12"/>
    </row>
    <row r="540" spans="1:7" x14ac:dyDescent="0.25">
      <c r="A540" s="9">
        <f>'Como usar'!$B$4+INT((ROW()-2)/6)</f>
        <v>46379</v>
      </c>
      <c r="B540" s="10" t="s">
        <v>11</v>
      </c>
      <c r="C540" s="11"/>
      <c r="D540" s="11"/>
      <c r="E540" s="12"/>
      <c r="F540" s="11"/>
      <c r="G540" s="12"/>
    </row>
    <row r="541" spans="1:7" x14ac:dyDescent="0.25">
      <c r="A541" s="9">
        <f>'Como usar'!$B$4+INT((ROW()-2)/6)</f>
        <v>46379</v>
      </c>
      <c r="B541" s="10" t="s">
        <v>12</v>
      </c>
      <c r="C541" s="11"/>
      <c r="D541" s="11"/>
      <c r="E541" s="12"/>
      <c r="F541" s="11"/>
      <c r="G541" s="12"/>
    </row>
  </sheetData>
  <autoFilter ref="A1:G541" xr:uid="{00000000-0009-0000-0000-000000000000}"/>
  <conditionalFormatting sqref="C2:G541">
    <cfRule type="expression" dxfId="1" priority="1">
      <formula>MOD(INT((ROW()-2)/6),2)=0</formula>
    </cfRule>
    <cfRule type="expression" dxfId="0" priority="2">
      <formula>MOD(INT((ROW()-2)/6),2)=1</formula>
    </cfRule>
  </conditionalFormatting>
  <dataValidations count="2">
    <dataValidation type="whole" errorStyle="warning" allowBlank="1" showInputMessage="1" showErrorMessage="1" errorTitle="Confira o valor" error="Glicemia costuma ficar entre 20 e 600 mg/dL. Confira o número digitado." promptTitle="Glicemia" prompt="Valor em mg/dL (só números)." sqref="C2:C541 F2:F541" xr:uid="{00000000-0002-0000-0000-000000000000}">
      <formula1>20</formula1>
      <formula2>600</formula2>
    </dataValidation>
    <dataValidation type="decimal" errorStyle="warning" allowBlank="1" showInputMessage="1" showErrorMessage="1" errorTitle="Confira o valor" error="Digite apenas o número de unidades (ex.: 4 ou 4,5)." promptTitle="Insulina" prompt="Unidades aplicadas antes da refeição." sqref="D2:D541" xr:uid="{00000000-0002-0000-0000-000001000000}">
      <formula1>0</formula1>
      <formula2>100</formula2>
    </dataValidation>
  </dataValidations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  <pageSetUpPr fitToPage="1"/>
  </sheetPr>
  <dimension ref="A1:V95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19" width="7" customWidth="1"/>
    <col min="20" max="22" width="10" customWidth="1"/>
  </cols>
  <sheetData>
    <row r="1" spans="1:22" ht="27.95" customHeight="1" x14ac:dyDescent="0.25">
      <c r="A1" s="37" t="s">
        <v>13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ht="21.95" customHeight="1" x14ac:dyDescent="0.25">
      <c r="A2" s="36" t="s">
        <v>0</v>
      </c>
      <c r="B2" s="36" t="s">
        <v>7</v>
      </c>
      <c r="C2" s="36"/>
      <c r="D2" s="36"/>
      <c r="E2" s="36" t="s">
        <v>8</v>
      </c>
      <c r="F2" s="36"/>
      <c r="G2" s="36"/>
      <c r="H2" s="36" t="s">
        <v>9</v>
      </c>
      <c r="I2" s="36"/>
      <c r="J2" s="36"/>
      <c r="K2" s="36" t="s">
        <v>10</v>
      </c>
      <c r="L2" s="36"/>
      <c r="M2" s="36"/>
      <c r="N2" s="36" t="s">
        <v>11</v>
      </c>
      <c r="O2" s="36"/>
      <c r="P2" s="36"/>
      <c r="Q2" s="36" t="s">
        <v>12</v>
      </c>
      <c r="R2" s="36"/>
      <c r="S2" s="36"/>
      <c r="T2" s="36" t="s">
        <v>14</v>
      </c>
      <c r="U2" s="36" t="s">
        <v>15</v>
      </c>
      <c r="V2" s="36" t="s">
        <v>16</v>
      </c>
    </row>
    <row r="3" spans="1:22" ht="18" customHeight="1" x14ac:dyDescent="0.25">
      <c r="A3" s="36"/>
      <c r="B3" s="8" t="s">
        <v>17</v>
      </c>
      <c r="C3" s="8" t="s">
        <v>18</v>
      </c>
      <c r="D3" s="8" t="s">
        <v>19</v>
      </c>
      <c r="E3" s="8" t="s">
        <v>17</v>
      </c>
      <c r="F3" s="8" t="s">
        <v>18</v>
      </c>
      <c r="G3" s="8" t="s">
        <v>19</v>
      </c>
      <c r="H3" s="8" t="s">
        <v>17</v>
      </c>
      <c r="I3" s="8" t="s">
        <v>18</v>
      </c>
      <c r="J3" s="8" t="s">
        <v>19</v>
      </c>
      <c r="K3" s="8" t="s">
        <v>17</v>
      </c>
      <c r="L3" s="8" t="s">
        <v>18</v>
      </c>
      <c r="M3" s="8" t="s">
        <v>19</v>
      </c>
      <c r="N3" s="8" t="s">
        <v>17</v>
      </c>
      <c r="O3" s="8" t="s">
        <v>18</v>
      </c>
      <c r="P3" s="8" t="s">
        <v>19</v>
      </c>
      <c r="Q3" s="8" t="s">
        <v>17</v>
      </c>
      <c r="R3" s="8" t="s">
        <v>18</v>
      </c>
      <c r="S3" s="8" t="s">
        <v>19</v>
      </c>
      <c r="T3" s="36"/>
      <c r="U3" s="36"/>
      <c r="V3" s="36"/>
    </row>
    <row r="4" spans="1:22" x14ac:dyDescent="0.25">
      <c r="A4" s="13">
        <f>'Preencher pelo celular'!A2</f>
        <v>46290</v>
      </c>
      <c r="B4" s="11" t="str">
        <f>IF('Preencher pelo celular'!C2="","",'Preencher pelo celular'!C2)</f>
        <v/>
      </c>
      <c r="C4" s="11" t="str">
        <f>IF('Preencher pelo celular'!D2="","",'Preencher pelo celular'!D2)</f>
        <v/>
      </c>
      <c r="D4" s="11" t="str">
        <f>IF('Preencher pelo celular'!F2="","",'Preencher pelo celular'!F2)</f>
        <v/>
      </c>
      <c r="E4" s="11" t="str">
        <f>IF('Preencher pelo celular'!C3="","",'Preencher pelo celular'!C3)</f>
        <v/>
      </c>
      <c r="F4" s="11" t="str">
        <f>IF('Preencher pelo celular'!D3="","",'Preencher pelo celular'!D3)</f>
        <v/>
      </c>
      <c r="G4" s="11" t="str">
        <f>IF('Preencher pelo celular'!F3="","",'Preencher pelo celular'!F3)</f>
        <v/>
      </c>
      <c r="H4" s="11" t="str">
        <f>IF('Preencher pelo celular'!C4="","",'Preencher pelo celular'!C4)</f>
        <v/>
      </c>
      <c r="I4" s="11" t="str">
        <f>IF('Preencher pelo celular'!D4="","",'Preencher pelo celular'!D4)</f>
        <v/>
      </c>
      <c r="J4" s="11" t="str">
        <f>IF('Preencher pelo celular'!F4="","",'Preencher pelo celular'!F4)</f>
        <v/>
      </c>
      <c r="K4" s="11" t="str">
        <f>IF('Preencher pelo celular'!C5="","",'Preencher pelo celular'!C5)</f>
        <v/>
      </c>
      <c r="L4" s="11" t="str">
        <f>IF('Preencher pelo celular'!D5="","",'Preencher pelo celular'!D5)</f>
        <v/>
      </c>
      <c r="M4" s="11" t="str">
        <f>IF('Preencher pelo celular'!F5="","",'Preencher pelo celular'!F5)</f>
        <v/>
      </c>
      <c r="N4" s="11" t="str">
        <f>IF('Preencher pelo celular'!C6="","",'Preencher pelo celular'!C6)</f>
        <v/>
      </c>
      <c r="O4" s="11" t="str">
        <f>IF('Preencher pelo celular'!D6="","",'Preencher pelo celular'!D6)</f>
        <v/>
      </c>
      <c r="P4" s="11" t="str">
        <f>IF('Preencher pelo celular'!F6="","",'Preencher pelo celular'!F6)</f>
        <v/>
      </c>
      <c r="Q4" s="11" t="str">
        <f>IF('Preencher pelo celular'!C7="","",'Preencher pelo celular'!C7)</f>
        <v/>
      </c>
      <c r="R4" s="11" t="str">
        <f>IF('Preencher pelo celular'!D7="","",'Preencher pelo celular'!D7)</f>
        <v/>
      </c>
      <c r="S4" s="11" t="str">
        <f>IF('Preencher pelo celular'!F7="","",'Preencher pelo celular'!F7)</f>
        <v/>
      </c>
      <c r="T4" s="14" t="str">
        <f t="shared" ref="T4:T35" si="0">IF(COUNT(B4,E4,H4,K4,N4,Q4)=0,"",AVERAGE(B4,E4,H4,K4,N4,Q4))</f>
        <v/>
      </c>
      <c r="U4" s="14" t="str">
        <f t="shared" ref="U4:U35" si="1">IF(COUNT(D4,G4,J4,M4,P4,S4)=0,"",AVERAGE(D4,G4,J4,M4,P4,S4))</f>
        <v/>
      </c>
      <c r="V4" s="14" t="str">
        <f t="shared" ref="V4:V35" si="2">IF(COUNT(C4,F4,I4,L4,O4,R4)=0,"",SUM(C4,F4,I4,L4,O4,R4))</f>
        <v/>
      </c>
    </row>
    <row r="5" spans="1:22" x14ac:dyDescent="0.25">
      <c r="A5" s="15">
        <f>'Preencher pelo celular'!A8</f>
        <v>46291</v>
      </c>
      <c r="B5" s="16" t="str">
        <f>IF('Preencher pelo celular'!C8="","",'Preencher pelo celular'!C8)</f>
        <v/>
      </c>
      <c r="C5" s="16" t="str">
        <f>IF('Preencher pelo celular'!D8="","",'Preencher pelo celular'!D8)</f>
        <v/>
      </c>
      <c r="D5" s="16" t="str">
        <f>IF('Preencher pelo celular'!F8="","",'Preencher pelo celular'!F8)</f>
        <v/>
      </c>
      <c r="E5" s="16" t="str">
        <f>IF('Preencher pelo celular'!C9="","",'Preencher pelo celular'!C9)</f>
        <v/>
      </c>
      <c r="F5" s="16" t="str">
        <f>IF('Preencher pelo celular'!D9="","",'Preencher pelo celular'!D9)</f>
        <v/>
      </c>
      <c r="G5" s="16" t="str">
        <f>IF('Preencher pelo celular'!F9="","",'Preencher pelo celular'!F9)</f>
        <v/>
      </c>
      <c r="H5" s="16" t="str">
        <f>IF('Preencher pelo celular'!C10="","",'Preencher pelo celular'!C10)</f>
        <v/>
      </c>
      <c r="I5" s="16" t="str">
        <f>IF('Preencher pelo celular'!D10="","",'Preencher pelo celular'!D10)</f>
        <v/>
      </c>
      <c r="J5" s="16" t="str">
        <f>IF('Preencher pelo celular'!F10="","",'Preencher pelo celular'!F10)</f>
        <v/>
      </c>
      <c r="K5" s="16" t="str">
        <f>IF('Preencher pelo celular'!C11="","",'Preencher pelo celular'!C11)</f>
        <v/>
      </c>
      <c r="L5" s="16" t="str">
        <f>IF('Preencher pelo celular'!D11="","",'Preencher pelo celular'!D11)</f>
        <v/>
      </c>
      <c r="M5" s="16" t="str">
        <f>IF('Preencher pelo celular'!F11="","",'Preencher pelo celular'!F11)</f>
        <v/>
      </c>
      <c r="N5" s="16" t="str">
        <f>IF('Preencher pelo celular'!C12="","",'Preencher pelo celular'!C12)</f>
        <v/>
      </c>
      <c r="O5" s="16" t="str">
        <f>IF('Preencher pelo celular'!D12="","",'Preencher pelo celular'!D12)</f>
        <v/>
      </c>
      <c r="P5" s="16" t="str">
        <f>IF('Preencher pelo celular'!F12="","",'Preencher pelo celular'!F12)</f>
        <v/>
      </c>
      <c r="Q5" s="16" t="str">
        <f>IF('Preencher pelo celular'!C13="","",'Preencher pelo celular'!C13)</f>
        <v/>
      </c>
      <c r="R5" s="16" t="str">
        <f>IF('Preencher pelo celular'!D13="","",'Preencher pelo celular'!D13)</f>
        <v/>
      </c>
      <c r="S5" s="16" t="str">
        <f>IF('Preencher pelo celular'!F13="","",'Preencher pelo celular'!F13)</f>
        <v/>
      </c>
      <c r="T5" s="14" t="str">
        <f t="shared" si="0"/>
        <v/>
      </c>
      <c r="U5" s="14" t="str">
        <f t="shared" si="1"/>
        <v/>
      </c>
      <c r="V5" s="14" t="str">
        <f t="shared" si="2"/>
        <v/>
      </c>
    </row>
    <row r="6" spans="1:22" x14ac:dyDescent="0.25">
      <c r="A6" s="13">
        <f>'Preencher pelo celular'!A14</f>
        <v>46292</v>
      </c>
      <c r="B6" s="11" t="str">
        <f>IF('Preencher pelo celular'!C14="","",'Preencher pelo celular'!C14)</f>
        <v/>
      </c>
      <c r="C6" s="11" t="str">
        <f>IF('Preencher pelo celular'!D14="","",'Preencher pelo celular'!D14)</f>
        <v/>
      </c>
      <c r="D6" s="11" t="str">
        <f>IF('Preencher pelo celular'!F14="","",'Preencher pelo celular'!F14)</f>
        <v/>
      </c>
      <c r="E6" s="11" t="str">
        <f>IF('Preencher pelo celular'!C15="","",'Preencher pelo celular'!C15)</f>
        <v/>
      </c>
      <c r="F6" s="11" t="str">
        <f>IF('Preencher pelo celular'!D15="","",'Preencher pelo celular'!D15)</f>
        <v/>
      </c>
      <c r="G6" s="11" t="str">
        <f>IF('Preencher pelo celular'!F15="","",'Preencher pelo celular'!F15)</f>
        <v/>
      </c>
      <c r="H6" s="11" t="str">
        <f>IF('Preencher pelo celular'!C16="","",'Preencher pelo celular'!C16)</f>
        <v/>
      </c>
      <c r="I6" s="11" t="str">
        <f>IF('Preencher pelo celular'!D16="","",'Preencher pelo celular'!D16)</f>
        <v/>
      </c>
      <c r="J6" s="11" t="str">
        <f>IF('Preencher pelo celular'!F16="","",'Preencher pelo celular'!F16)</f>
        <v/>
      </c>
      <c r="K6" s="11" t="str">
        <f>IF('Preencher pelo celular'!C17="","",'Preencher pelo celular'!C17)</f>
        <v/>
      </c>
      <c r="L6" s="11" t="str">
        <f>IF('Preencher pelo celular'!D17="","",'Preencher pelo celular'!D17)</f>
        <v/>
      </c>
      <c r="M6" s="11" t="str">
        <f>IF('Preencher pelo celular'!F17="","",'Preencher pelo celular'!F17)</f>
        <v/>
      </c>
      <c r="N6" s="11" t="str">
        <f>IF('Preencher pelo celular'!C18="","",'Preencher pelo celular'!C18)</f>
        <v/>
      </c>
      <c r="O6" s="11" t="str">
        <f>IF('Preencher pelo celular'!D18="","",'Preencher pelo celular'!D18)</f>
        <v/>
      </c>
      <c r="P6" s="11" t="str">
        <f>IF('Preencher pelo celular'!F18="","",'Preencher pelo celular'!F18)</f>
        <v/>
      </c>
      <c r="Q6" s="11" t="str">
        <f>IF('Preencher pelo celular'!C19="","",'Preencher pelo celular'!C19)</f>
        <v/>
      </c>
      <c r="R6" s="11" t="str">
        <f>IF('Preencher pelo celular'!D19="","",'Preencher pelo celular'!D19)</f>
        <v/>
      </c>
      <c r="S6" s="11" t="str">
        <f>IF('Preencher pelo celular'!F19="","",'Preencher pelo celular'!F19)</f>
        <v/>
      </c>
      <c r="T6" s="14" t="str">
        <f t="shared" si="0"/>
        <v/>
      </c>
      <c r="U6" s="14" t="str">
        <f t="shared" si="1"/>
        <v/>
      </c>
      <c r="V6" s="14" t="str">
        <f t="shared" si="2"/>
        <v/>
      </c>
    </row>
    <row r="7" spans="1:22" x14ac:dyDescent="0.25">
      <c r="A7" s="15">
        <f>'Preencher pelo celular'!A20</f>
        <v>46293</v>
      </c>
      <c r="B7" s="16" t="str">
        <f>IF('Preencher pelo celular'!C20="","",'Preencher pelo celular'!C20)</f>
        <v/>
      </c>
      <c r="C7" s="16" t="str">
        <f>IF('Preencher pelo celular'!D20="","",'Preencher pelo celular'!D20)</f>
        <v/>
      </c>
      <c r="D7" s="16" t="str">
        <f>IF('Preencher pelo celular'!F20="","",'Preencher pelo celular'!F20)</f>
        <v/>
      </c>
      <c r="E7" s="16" t="str">
        <f>IF('Preencher pelo celular'!C21="","",'Preencher pelo celular'!C21)</f>
        <v/>
      </c>
      <c r="F7" s="16" t="str">
        <f>IF('Preencher pelo celular'!D21="","",'Preencher pelo celular'!D21)</f>
        <v/>
      </c>
      <c r="G7" s="16" t="str">
        <f>IF('Preencher pelo celular'!F21="","",'Preencher pelo celular'!F21)</f>
        <v/>
      </c>
      <c r="H7" s="16" t="str">
        <f>IF('Preencher pelo celular'!C22="","",'Preencher pelo celular'!C22)</f>
        <v/>
      </c>
      <c r="I7" s="16" t="str">
        <f>IF('Preencher pelo celular'!D22="","",'Preencher pelo celular'!D22)</f>
        <v/>
      </c>
      <c r="J7" s="16" t="str">
        <f>IF('Preencher pelo celular'!F22="","",'Preencher pelo celular'!F22)</f>
        <v/>
      </c>
      <c r="K7" s="16" t="str">
        <f>IF('Preencher pelo celular'!C23="","",'Preencher pelo celular'!C23)</f>
        <v/>
      </c>
      <c r="L7" s="16" t="str">
        <f>IF('Preencher pelo celular'!D23="","",'Preencher pelo celular'!D23)</f>
        <v/>
      </c>
      <c r="M7" s="16" t="str">
        <f>IF('Preencher pelo celular'!F23="","",'Preencher pelo celular'!F23)</f>
        <v/>
      </c>
      <c r="N7" s="16" t="str">
        <f>IF('Preencher pelo celular'!C24="","",'Preencher pelo celular'!C24)</f>
        <v/>
      </c>
      <c r="O7" s="16" t="str">
        <f>IF('Preencher pelo celular'!D24="","",'Preencher pelo celular'!D24)</f>
        <v/>
      </c>
      <c r="P7" s="16" t="str">
        <f>IF('Preencher pelo celular'!F24="","",'Preencher pelo celular'!F24)</f>
        <v/>
      </c>
      <c r="Q7" s="16" t="str">
        <f>IF('Preencher pelo celular'!C25="","",'Preencher pelo celular'!C25)</f>
        <v/>
      </c>
      <c r="R7" s="16" t="str">
        <f>IF('Preencher pelo celular'!D25="","",'Preencher pelo celular'!D25)</f>
        <v/>
      </c>
      <c r="S7" s="16" t="str">
        <f>IF('Preencher pelo celular'!F25="","",'Preencher pelo celular'!F25)</f>
        <v/>
      </c>
      <c r="T7" s="14" t="str">
        <f t="shared" si="0"/>
        <v/>
      </c>
      <c r="U7" s="14" t="str">
        <f t="shared" si="1"/>
        <v/>
      </c>
      <c r="V7" s="14" t="str">
        <f t="shared" si="2"/>
        <v/>
      </c>
    </row>
    <row r="8" spans="1:22" x14ac:dyDescent="0.25">
      <c r="A8" s="13">
        <f>'Preencher pelo celular'!A26</f>
        <v>46294</v>
      </c>
      <c r="B8" s="11" t="str">
        <f>IF('Preencher pelo celular'!C26="","",'Preencher pelo celular'!C26)</f>
        <v/>
      </c>
      <c r="C8" s="11" t="str">
        <f>IF('Preencher pelo celular'!D26="","",'Preencher pelo celular'!D26)</f>
        <v/>
      </c>
      <c r="D8" s="11" t="str">
        <f>IF('Preencher pelo celular'!F26="","",'Preencher pelo celular'!F26)</f>
        <v/>
      </c>
      <c r="E8" s="11" t="str">
        <f>IF('Preencher pelo celular'!C27="","",'Preencher pelo celular'!C27)</f>
        <v/>
      </c>
      <c r="F8" s="11" t="str">
        <f>IF('Preencher pelo celular'!D27="","",'Preencher pelo celular'!D27)</f>
        <v/>
      </c>
      <c r="G8" s="11" t="str">
        <f>IF('Preencher pelo celular'!F27="","",'Preencher pelo celular'!F27)</f>
        <v/>
      </c>
      <c r="H8" s="11" t="str">
        <f>IF('Preencher pelo celular'!C28="","",'Preencher pelo celular'!C28)</f>
        <v/>
      </c>
      <c r="I8" s="11" t="str">
        <f>IF('Preencher pelo celular'!D28="","",'Preencher pelo celular'!D28)</f>
        <v/>
      </c>
      <c r="J8" s="11" t="str">
        <f>IF('Preencher pelo celular'!F28="","",'Preencher pelo celular'!F28)</f>
        <v/>
      </c>
      <c r="K8" s="11" t="str">
        <f>IF('Preencher pelo celular'!C29="","",'Preencher pelo celular'!C29)</f>
        <v/>
      </c>
      <c r="L8" s="11" t="str">
        <f>IF('Preencher pelo celular'!D29="","",'Preencher pelo celular'!D29)</f>
        <v/>
      </c>
      <c r="M8" s="11" t="str">
        <f>IF('Preencher pelo celular'!F29="","",'Preencher pelo celular'!F29)</f>
        <v/>
      </c>
      <c r="N8" s="11" t="str">
        <f>IF('Preencher pelo celular'!C30="","",'Preencher pelo celular'!C30)</f>
        <v/>
      </c>
      <c r="O8" s="11" t="str">
        <f>IF('Preencher pelo celular'!D30="","",'Preencher pelo celular'!D30)</f>
        <v/>
      </c>
      <c r="P8" s="11" t="str">
        <f>IF('Preencher pelo celular'!F30="","",'Preencher pelo celular'!F30)</f>
        <v/>
      </c>
      <c r="Q8" s="11" t="str">
        <f>IF('Preencher pelo celular'!C31="","",'Preencher pelo celular'!C31)</f>
        <v/>
      </c>
      <c r="R8" s="11" t="str">
        <f>IF('Preencher pelo celular'!D31="","",'Preencher pelo celular'!D31)</f>
        <v/>
      </c>
      <c r="S8" s="11" t="str">
        <f>IF('Preencher pelo celular'!F31="","",'Preencher pelo celular'!F31)</f>
        <v/>
      </c>
      <c r="T8" s="14" t="str">
        <f t="shared" si="0"/>
        <v/>
      </c>
      <c r="U8" s="14" t="str">
        <f t="shared" si="1"/>
        <v/>
      </c>
      <c r="V8" s="14" t="str">
        <f t="shared" si="2"/>
        <v/>
      </c>
    </row>
    <row r="9" spans="1:22" x14ac:dyDescent="0.25">
      <c r="A9" s="15">
        <f>'Preencher pelo celular'!A32</f>
        <v>46295</v>
      </c>
      <c r="B9" s="16" t="str">
        <f>IF('Preencher pelo celular'!C32="","",'Preencher pelo celular'!C32)</f>
        <v/>
      </c>
      <c r="C9" s="16" t="str">
        <f>IF('Preencher pelo celular'!D32="","",'Preencher pelo celular'!D32)</f>
        <v/>
      </c>
      <c r="D9" s="16" t="str">
        <f>IF('Preencher pelo celular'!F32="","",'Preencher pelo celular'!F32)</f>
        <v/>
      </c>
      <c r="E9" s="16" t="str">
        <f>IF('Preencher pelo celular'!C33="","",'Preencher pelo celular'!C33)</f>
        <v/>
      </c>
      <c r="F9" s="16" t="str">
        <f>IF('Preencher pelo celular'!D33="","",'Preencher pelo celular'!D33)</f>
        <v/>
      </c>
      <c r="G9" s="16" t="str">
        <f>IF('Preencher pelo celular'!F33="","",'Preencher pelo celular'!F33)</f>
        <v/>
      </c>
      <c r="H9" s="16" t="str">
        <f>IF('Preencher pelo celular'!C34="","",'Preencher pelo celular'!C34)</f>
        <v/>
      </c>
      <c r="I9" s="16" t="str">
        <f>IF('Preencher pelo celular'!D34="","",'Preencher pelo celular'!D34)</f>
        <v/>
      </c>
      <c r="J9" s="16" t="str">
        <f>IF('Preencher pelo celular'!F34="","",'Preencher pelo celular'!F34)</f>
        <v/>
      </c>
      <c r="K9" s="16" t="str">
        <f>IF('Preencher pelo celular'!C35="","",'Preencher pelo celular'!C35)</f>
        <v/>
      </c>
      <c r="L9" s="16" t="str">
        <f>IF('Preencher pelo celular'!D35="","",'Preencher pelo celular'!D35)</f>
        <v/>
      </c>
      <c r="M9" s="16" t="str">
        <f>IF('Preencher pelo celular'!F35="","",'Preencher pelo celular'!F35)</f>
        <v/>
      </c>
      <c r="N9" s="16" t="str">
        <f>IF('Preencher pelo celular'!C36="","",'Preencher pelo celular'!C36)</f>
        <v/>
      </c>
      <c r="O9" s="16" t="str">
        <f>IF('Preencher pelo celular'!D36="","",'Preencher pelo celular'!D36)</f>
        <v/>
      </c>
      <c r="P9" s="16" t="str">
        <f>IF('Preencher pelo celular'!F36="","",'Preencher pelo celular'!F36)</f>
        <v/>
      </c>
      <c r="Q9" s="16" t="str">
        <f>IF('Preencher pelo celular'!C37="","",'Preencher pelo celular'!C37)</f>
        <v/>
      </c>
      <c r="R9" s="16" t="str">
        <f>IF('Preencher pelo celular'!D37="","",'Preencher pelo celular'!D37)</f>
        <v/>
      </c>
      <c r="S9" s="16" t="str">
        <f>IF('Preencher pelo celular'!F37="","",'Preencher pelo celular'!F37)</f>
        <v/>
      </c>
      <c r="T9" s="14" t="str">
        <f t="shared" si="0"/>
        <v/>
      </c>
      <c r="U9" s="14" t="str">
        <f t="shared" si="1"/>
        <v/>
      </c>
      <c r="V9" s="14" t="str">
        <f t="shared" si="2"/>
        <v/>
      </c>
    </row>
    <row r="10" spans="1:22" x14ac:dyDescent="0.25">
      <c r="A10" s="13">
        <f>'Preencher pelo celular'!A38</f>
        <v>46296</v>
      </c>
      <c r="B10" s="11" t="str">
        <f>IF('Preencher pelo celular'!C38="","",'Preencher pelo celular'!C38)</f>
        <v/>
      </c>
      <c r="C10" s="11" t="str">
        <f>IF('Preencher pelo celular'!D38="","",'Preencher pelo celular'!D38)</f>
        <v/>
      </c>
      <c r="D10" s="11" t="str">
        <f>IF('Preencher pelo celular'!F38="","",'Preencher pelo celular'!F38)</f>
        <v/>
      </c>
      <c r="E10" s="11" t="str">
        <f>IF('Preencher pelo celular'!C39="","",'Preencher pelo celular'!C39)</f>
        <v/>
      </c>
      <c r="F10" s="11" t="str">
        <f>IF('Preencher pelo celular'!D39="","",'Preencher pelo celular'!D39)</f>
        <v/>
      </c>
      <c r="G10" s="11" t="str">
        <f>IF('Preencher pelo celular'!F39="","",'Preencher pelo celular'!F39)</f>
        <v/>
      </c>
      <c r="H10" s="11" t="str">
        <f>IF('Preencher pelo celular'!C40="","",'Preencher pelo celular'!C40)</f>
        <v/>
      </c>
      <c r="I10" s="11" t="str">
        <f>IF('Preencher pelo celular'!D40="","",'Preencher pelo celular'!D40)</f>
        <v/>
      </c>
      <c r="J10" s="11" t="str">
        <f>IF('Preencher pelo celular'!F40="","",'Preencher pelo celular'!F40)</f>
        <v/>
      </c>
      <c r="K10" s="11" t="str">
        <f>IF('Preencher pelo celular'!C41="","",'Preencher pelo celular'!C41)</f>
        <v/>
      </c>
      <c r="L10" s="11" t="str">
        <f>IF('Preencher pelo celular'!D41="","",'Preencher pelo celular'!D41)</f>
        <v/>
      </c>
      <c r="M10" s="11" t="str">
        <f>IF('Preencher pelo celular'!F41="","",'Preencher pelo celular'!F41)</f>
        <v/>
      </c>
      <c r="N10" s="11" t="str">
        <f>IF('Preencher pelo celular'!C42="","",'Preencher pelo celular'!C42)</f>
        <v/>
      </c>
      <c r="O10" s="11" t="str">
        <f>IF('Preencher pelo celular'!D42="","",'Preencher pelo celular'!D42)</f>
        <v/>
      </c>
      <c r="P10" s="11" t="str">
        <f>IF('Preencher pelo celular'!F42="","",'Preencher pelo celular'!F42)</f>
        <v/>
      </c>
      <c r="Q10" s="11" t="str">
        <f>IF('Preencher pelo celular'!C43="","",'Preencher pelo celular'!C43)</f>
        <v/>
      </c>
      <c r="R10" s="11" t="str">
        <f>IF('Preencher pelo celular'!D43="","",'Preencher pelo celular'!D43)</f>
        <v/>
      </c>
      <c r="S10" s="11" t="str">
        <f>IF('Preencher pelo celular'!F43="","",'Preencher pelo celular'!F43)</f>
        <v/>
      </c>
      <c r="T10" s="14" t="str">
        <f t="shared" si="0"/>
        <v/>
      </c>
      <c r="U10" s="14" t="str">
        <f t="shared" si="1"/>
        <v/>
      </c>
      <c r="V10" s="14" t="str">
        <f t="shared" si="2"/>
        <v/>
      </c>
    </row>
    <row r="11" spans="1:22" x14ac:dyDescent="0.25">
      <c r="A11" s="15">
        <f>'Preencher pelo celular'!A44</f>
        <v>46297</v>
      </c>
      <c r="B11" s="16" t="str">
        <f>IF('Preencher pelo celular'!C44="","",'Preencher pelo celular'!C44)</f>
        <v/>
      </c>
      <c r="C11" s="16" t="str">
        <f>IF('Preencher pelo celular'!D44="","",'Preencher pelo celular'!D44)</f>
        <v/>
      </c>
      <c r="D11" s="16" t="str">
        <f>IF('Preencher pelo celular'!F44="","",'Preencher pelo celular'!F44)</f>
        <v/>
      </c>
      <c r="E11" s="16" t="str">
        <f>IF('Preencher pelo celular'!C45="","",'Preencher pelo celular'!C45)</f>
        <v/>
      </c>
      <c r="F11" s="16" t="str">
        <f>IF('Preencher pelo celular'!D45="","",'Preencher pelo celular'!D45)</f>
        <v/>
      </c>
      <c r="G11" s="16" t="str">
        <f>IF('Preencher pelo celular'!F45="","",'Preencher pelo celular'!F45)</f>
        <v/>
      </c>
      <c r="H11" s="16" t="str">
        <f>IF('Preencher pelo celular'!C46="","",'Preencher pelo celular'!C46)</f>
        <v/>
      </c>
      <c r="I11" s="16" t="str">
        <f>IF('Preencher pelo celular'!D46="","",'Preencher pelo celular'!D46)</f>
        <v/>
      </c>
      <c r="J11" s="16" t="str">
        <f>IF('Preencher pelo celular'!F46="","",'Preencher pelo celular'!F46)</f>
        <v/>
      </c>
      <c r="K11" s="16" t="str">
        <f>IF('Preencher pelo celular'!C47="","",'Preencher pelo celular'!C47)</f>
        <v/>
      </c>
      <c r="L11" s="16" t="str">
        <f>IF('Preencher pelo celular'!D47="","",'Preencher pelo celular'!D47)</f>
        <v/>
      </c>
      <c r="M11" s="16" t="str">
        <f>IF('Preencher pelo celular'!F47="","",'Preencher pelo celular'!F47)</f>
        <v/>
      </c>
      <c r="N11" s="16" t="str">
        <f>IF('Preencher pelo celular'!C48="","",'Preencher pelo celular'!C48)</f>
        <v/>
      </c>
      <c r="O11" s="16" t="str">
        <f>IF('Preencher pelo celular'!D48="","",'Preencher pelo celular'!D48)</f>
        <v/>
      </c>
      <c r="P11" s="16" t="str">
        <f>IF('Preencher pelo celular'!F48="","",'Preencher pelo celular'!F48)</f>
        <v/>
      </c>
      <c r="Q11" s="16" t="str">
        <f>IF('Preencher pelo celular'!C49="","",'Preencher pelo celular'!C49)</f>
        <v/>
      </c>
      <c r="R11" s="16" t="str">
        <f>IF('Preencher pelo celular'!D49="","",'Preencher pelo celular'!D49)</f>
        <v/>
      </c>
      <c r="S11" s="16" t="str">
        <f>IF('Preencher pelo celular'!F49="","",'Preencher pelo celular'!F49)</f>
        <v/>
      </c>
      <c r="T11" s="14" t="str">
        <f t="shared" si="0"/>
        <v/>
      </c>
      <c r="U11" s="14" t="str">
        <f t="shared" si="1"/>
        <v/>
      </c>
      <c r="V11" s="14" t="str">
        <f t="shared" si="2"/>
        <v/>
      </c>
    </row>
    <row r="12" spans="1:22" x14ac:dyDescent="0.25">
      <c r="A12" s="13">
        <f>'Preencher pelo celular'!A50</f>
        <v>46298</v>
      </c>
      <c r="B12" s="11" t="str">
        <f>IF('Preencher pelo celular'!C50="","",'Preencher pelo celular'!C50)</f>
        <v/>
      </c>
      <c r="C12" s="11" t="str">
        <f>IF('Preencher pelo celular'!D50="","",'Preencher pelo celular'!D50)</f>
        <v/>
      </c>
      <c r="D12" s="11" t="str">
        <f>IF('Preencher pelo celular'!F50="","",'Preencher pelo celular'!F50)</f>
        <v/>
      </c>
      <c r="E12" s="11" t="str">
        <f>IF('Preencher pelo celular'!C51="","",'Preencher pelo celular'!C51)</f>
        <v/>
      </c>
      <c r="F12" s="11" t="str">
        <f>IF('Preencher pelo celular'!D51="","",'Preencher pelo celular'!D51)</f>
        <v/>
      </c>
      <c r="G12" s="11" t="str">
        <f>IF('Preencher pelo celular'!F51="","",'Preencher pelo celular'!F51)</f>
        <v/>
      </c>
      <c r="H12" s="11" t="str">
        <f>IF('Preencher pelo celular'!C52="","",'Preencher pelo celular'!C52)</f>
        <v/>
      </c>
      <c r="I12" s="11" t="str">
        <f>IF('Preencher pelo celular'!D52="","",'Preencher pelo celular'!D52)</f>
        <v/>
      </c>
      <c r="J12" s="11" t="str">
        <f>IF('Preencher pelo celular'!F52="","",'Preencher pelo celular'!F52)</f>
        <v/>
      </c>
      <c r="K12" s="11" t="str">
        <f>IF('Preencher pelo celular'!C53="","",'Preencher pelo celular'!C53)</f>
        <v/>
      </c>
      <c r="L12" s="11" t="str">
        <f>IF('Preencher pelo celular'!D53="","",'Preencher pelo celular'!D53)</f>
        <v/>
      </c>
      <c r="M12" s="11" t="str">
        <f>IF('Preencher pelo celular'!F53="","",'Preencher pelo celular'!F53)</f>
        <v/>
      </c>
      <c r="N12" s="11" t="str">
        <f>IF('Preencher pelo celular'!C54="","",'Preencher pelo celular'!C54)</f>
        <v/>
      </c>
      <c r="O12" s="11" t="str">
        <f>IF('Preencher pelo celular'!D54="","",'Preencher pelo celular'!D54)</f>
        <v/>
      </c>
      <c r="P12" s="11" t="str">
        <f>IF('Preencher pelo celular'!F54="","",'Preencher pelo celular'!F54)</f>
        <v/>
      </c>
      <c r="Q12" s="11" t="str">
        <f>IF('Preencher pelo celular'!C55="","",'Preencher pelo celular'!C55)</f>
        <v/>
      </c>
      <c r="R12" s="11" t="str">
        <f>IF('Preencher pelo celular'!D55="","",'Preencher pelo celular'!D55)</f>
        <v/>
      </c>
      <c r="S12" s="11" t="str">
        <f>IF('Preencher pelo celular'!F55="","",'Preencher pelo celular'!F55)</f>
        <v/>
      </c>
      <c r="T12" s="14" t="str">
        <f t="shared" si="0"/>
        <v/>
      </c>
      <c r="U12" s="14" t="str">
        <f t="shared" si="1"/>
        <v/>
      </c>
      <c r="V12" s="14" t="str">
        <f t="shared" si="2"/>
        <v/>
      </c>
    </row>
    <row r="13" spans="1:22" x14ac:dyDescent="0.25">
      <c r="A13" s="15">
        <f>'Preencher pelo celular'!A56</f>
        <v>46299</v>
      </c>
      <c r="B13" s="16" t="str">
        <f>IF('Preencher pelo celular'!C56="","",'Preencher pelo celular'!C56)</f>
        <v/>
      </c>
      <c r="C13" s="16" t="str">
        <f>IF('Preencher pelo celular'!D56="","",'Preencher pelo celular'!D56)</f>
        <v/>
      </c>
      <c r="D13" s="16" t="str">
        <f>IF('Preencher pelo celular'!F56="","",'Preencher pelo celular'!F56)</f>
        <v/>
      </c>
      <c r="E13" s="16" t="str">
        <f>IF('Preencher pelo celular'!C57="","",'Preencher pelo celular'!C57)</f>
        <v/>
      </c>
      <c r="F13" s="16" t="str">
        <f>IF('Preencher pelo celular'!D57="","",'Preencher pelo celular'!D57)</f>
        <v/>
      </c>
      <c r="G13" s="16" t="str">
        <f>IF('Preencher pelo celular'!F57="","",'Preencher pelo celular'!F57)</f>
        <v/>
      </c>
      <c r="H13" s="16" t="str">
        <f>IF('Preencher pelo celular'!C58="","",'Preencher pelo celular'!C58)</f>
        <v/>
      </c>
      <c r="I13" s="16" t="str">
        <f>IF('Preencher pelo celular'!D58="","",'Preencher pelo celular'!D58)</f>
        <v/>
      </c>
      <c r="J13" s="16" t="str">
        <f>IF('Preencher pelo celular'!F58="","",'Preencher pelo celular'!F58)</f>
        <v/>
      </c>
      <c r="K13" s="16" t="str">
        <f>IF('Preencher pelo celular'!C59="","",'Preencher pelo celular'!C59)</f>
        <v/>
      </c>
      <c r="L13" s="16" t="str">
        <f>IF('Preencher pelo celular'!D59="","",'Preencher pelo celular'!D59)</f>
        <v/>
      </c>
      <c r="M13" s="16" t="str">
        <f>IF('Preencher pelo celular'!F59="","",'Preencher pelo celular'!F59)</f>
        <v/>
      </c>
      <c r="N13" s="16" t="str">
        <f>IF('Preencher pelo celular'!C60="","",'Preencher pelo celular'!C60)</f>
        <v/>
      </c>
      <c r="O13" s="16" t="str">
        <f>IF('Preencher pelo celular'!D60="","",'Preencher pelo celular'!D60)</f>
        <v/>
      </c>
      <c r="P13" s="16" t="str">
        <f>IF('Preencher pelo celular'!F60="","",'Preencher pelo celular'!F60)</f>
        <v/>
      </c>
      <c r="Q13" s="16" t="str">
        <f>IF('Preencher pelo celular'!C61="","",'Preencher pelo celular'!C61)</f>
        <v/>
      </c>
      <c r="R13" s="16" t="str">
        <f>IF('Preencher pelo celular'!D61="","",'Preencher pelo celular'!D61)</f>
        <v/>
      </c>
      <c r="S13" s="16" t="str">
        <f>IF('Preencher pelo celular'!F61="","",'Preencher pelo celular'!F61)</f>
        <v/>
      </c>
      <c r="T13" s="14" t="str">
        <f t="shared" si="0"/>
        <v/>
      </c>
      <c r="U13" s="14" t="str">
        <f t="shared" si="1"/>
        <v/>
      </c>
      <c r="V13" s="14" t="str">
        <f t="shared" si="2"/>
        <v/>
      </c>
    </row>
    <row r="14" spans="1:22" x14ac:dyDescent="0.25">
      <c r="A14" s="13">
        <f>'Preencher pelo celular'!A62</f>
        <v>46300</v>
      </c>
      <c r="B14" s="11" t="str">
        <f>IF('Preencher pelo celular'!C62="","",'Preencher pelo celular'!C62)</f>
        <v/>
      </c>
      <c r="C14" s="11" t="str">
        <f>IF('Preencher pelo celular'!D62="","",'Preencher pelo celular'!D62)</f>
        <v/>
      </c>
      <c r="D14" s="11" t="str">
        <f>IF('Preencher pelo celular'!F62="","",'Preencher pelo celular'!F62)</f>
        <v/>
      </c>
      <c r="E14" s="11" t="str">
        <f>IF('Preencher pelo celular'!C63="","",'Preencher pelo celular'!C63)</f>
        <v/>
      </c>
      <c r="F14" s="11" t="str">
        <f>IF('Preencher pelo celular'!D63="","",'Preencher pelo celular'!D63)</f>
        <v/>
      </c>
      <c r="G14" s="11" t="str">
        <f>IF('Preencher pelo celular'!F63="","",'Preencher pelo celular'!F63)</f>
        <v/>
      </c>
      <c r="H14" s="11" t="str">
        <f>IF('Preencher pelo celular'!C64="","",'Preencher pelo celular'!C64)</f>
        <v/>
      </c>
      <c r="I14" s="11" t="str">
        <f>IF('Preencher pelo celular'!D64="","",'Preencher pelo celular'!D64)</f>
        <v/>
      </c>
      <c r="J14" s="11" t="str">
        <f>IF('Preencher pelo celular'!F64="","",'Preencher pelo celular'!F64)</f>
        <v/>
      </c>
      <c r="K14" s="11" t="str">
        <f>IF('Preencher pelo celular'!C65="","",'Preencher pelo celular'!C65)</f>
        <v/>
      </c>
      <c r="L14" s="11" t="str">
        <f>IF('Preencher pelo celular'!D65="","",'Preencher pelo celular'!D65)</f>
        <v/>
      </c>
      <c r="M14" s="11" t="str">
        <f>IF('Preencher pelo celular'!F65="","",'Preencher pelo celular'!F65)</f>
        <v/>
      </c>
      <c r="N14" s="11" t="str">
        <f>IF('Preencher pelo celular'!C66="","",'Preencher pelo celular'!C66)</f>
        <v/>
      </c>
      <c r="O14" s="11" t="str">
        <f>IF('Preencher pelo celular'!D66="","",'Preencher pelo celular'!D66)</f>
        <v/>
      </c>
      <c r="P14" s="11" t="str">
        <f>IF('Preencher pelo celular'!F66="","",'Preencher pelo celular'!F66)</f>
        <v/>
      </c>
      <c r="Q14" s="11" t="str">
        <f>IF('Preencher pelo celular'!C67="","",'Preencher pelo celular'!C67)</f>
        <v/>
      </c>
      <c r="R14" s="11" t="str">
        <f>IF('Preencher pelo celular'!D67="","",'Preencher pelo celular'!D67)</f>
        <v/>
      </c>
      <c r="S14" s="11" t="str">
        <f>IF('Preencher pelo celular'!F67="","",'Preencher pelo celular'!F67)</f>
        <v/>
      </c>
      <c r="T14" s="14" t="str">
        <f t="shared" si="0"/>
        <v/>
      </c>
      <c r="U14" s="14" t="str">
        <f t="shared" si="1"/>
        <v/>
      </c>
      <c r="V14" s="14" t="str">
        <f t="shared" si="2"/>
        <v/>
      </c>
    </row>
    <row r="15" spans="1:22" x14ac:dyDescent="0.25">
      <c r="A15" s="15">
        <f>'Preencher pelo celular'!A68</f>
        <v>46301</v>
      </c>
      <c r="B15" s="16" t="str">
        <f>IF('Preencher pelo celular'!C68="","",'Preencher pelo celular'!C68)</f>
        <v/>
      </c>
      <c r="C15" s="16" t="str">
        <f>IF('Preencher pelo celular'!D68="","",'Preencher pelo celular'!D68)</f>
        <v/>
      </c>
      <c r="D15" s="16" t="str">
        <f>IF('Preencher pelo celular'!F68="","",'Preencher pelo celular'!F68)</f>
        <v/>
      </c>
      <c r="E15" s="16" t="str">
        <f>IF('Preencher pelo celular'!C69="","",'Preencher pelo celular'!C69)</f>
        <v/>
      </c>
      <c r="F15" s="16" t="str">
        <f>IF('Preencher pelo celular'!D69="","",'Preencher pelo celular'!D69)</f>
        <v/>
      </c>
      <c r="G15" s="16" t="str">
        <f>IF('Preencher pelo celular'!F69="","",'Preencher pelo celular'!F69)</f>
        <v/>
      </c>
      <c r="H15" s="16" t="str">
        <f>IF('Preencher pelo celular'!C70="","",'Preencher pelo celular'!C70)</f>
        <v/>
      </c>
      <c r="I15" s="16" t="str">
        <f>IF('Preencher pelo celular'!D70="","",'Preencher pelo celular'!D70)</f>
        <v/>
      </c>
      <c r="J15" s="16" t="str">
        <f>IF('Preencher pelo celular'!F70="","",'Preencher pelo celular'!F70)</f>
        <v/>
      </c>
      <c r="K15" s="16" t="str">
        <f>IF('Preencher pelo celular'!C71="","",'Preencher pelo celular'!C71)</f>
        <v/>
      </c>
      <c r="L15" s="16" t="str">
        <f>IF('Preencher pelo celular'!D71="","",'Preencher pelo celular'!D71)</f>
        <v/>
      </c>
      <c r="M15" s="16" t="str">
        <f>IF('Preencher pelo celular'!F71="","",'Preencher pelo celular'!F71)</f>
        <v/>
      </c>
      <c r="N15" s="16" t="str">
        <f>IF('Preencher pelo celular'!C72="","",'Preencher pelo celular'!C72)</f>
        <v/>
      </c>
      <c r="O15" s="16" t="str">
        <f>IF('Preencher pelo celular'!D72="","",'Preencher pelo celular'!D72)</f>
        <v/>
      </c>
      <c r="P15" s="16" t="str">
        <f>IF('Preencher pelo celular'!F72="","",'Preencher pelo celular'!F72)</f>
        <v/>
      </c>
      <c r="Q15" s="16" t="str">
        <f>IF('Preencher pelo celular'!C73="","",'Preencher pelo celular'!C73)</f>
        <v/>
      </c>
      <c r="R15" s="16" t="str">
        <f>IF('Preencher pelo celular'!D73="","",'Preencher pelo celular'!D73)</f>
        <v/>
      </c>
      <c r="S15" s="16" t="str">
        <f>IF('Preencher pelo celular'!F73="","",'Preencher pelo celular'!F73)</f>
        <v/>
      </c>
      <c r="T15" s="14" t="str">
        <f t="shared" si="0"/>
        <v/>
      </c>
      <c r="U15" s="14" t="str">
        <f t="shared" si="1"/>
        <v/>
      </c>
      <c r="V15" s="14" t="str">
        <f t="shared" si="2"/>
        <v/>
      </c>
    </row>
    <row r="16" spans="1:22" x14ac:dyDescent="0.25">
      <c r="A16" s="13">
        <f>'Preencher pelo celular'!A74</f>
        <v>46302</v>
      </c>
      <c r="B16" s="11" t="str">
        <f>IF('Preencher pelo celular'!C74="","",'Preencher pelo celular'!C74)</f>
        <v/>
      </c>
      <c r="C16" s="11" t="str">
        <f>IF('Preencher pelo celular'!D74="","",'Preencher pelo celular'!D74)</f>
        <v/>
      </c>
      <c r="D16" s="11" t="str">
        <f>IF('Preencher pelo celular'!F74="","",'Preencher pelo celular'!F74)</f>
        <v/>
      </c>
      <c r="E16" s="11" t="str">
        <f>IF('Preencher pelo celular'!C75="","",'Preencher pelo celular'!C75)</f>
        <v/>
      </c>
      <c r="F16" s="11" t="str">
        <f>IF('Preencher pelo celular'!D75="","",'Preencher pelo celular'!D75)</f>
        <v/>
      </c>
      <c r="G16" s="11" t="str">
        <f>IF('Preencher pelo celular'!F75="","",'Preencher pelo celular'!F75)</f>
        <v/>
      </c>
      <c r="H16" s="11" t="str">
        <f>IF('Preencher pelo celular'!C76="","",'Preencher pelo celular'!C76)</f>
        <v/>
      </c>
      <c r="I16" s="11" t="str">
        <f>IF('Preencher pelo celular'!D76="","",'Preencher pelo celular'!D76)</f>
        <v/>
      </c>
      <c r="J16" s="11" t="str">
        <f>IF('Preencher pelo celular'!F76="","",'Preencher pelo celular'!F76)</f>
        <v/>
      </c>
      <c r="K16" s="11" t="str">
        <f>IF('Preencher pelo celular'!C77="","",'Preencher pelo celular'!C77)</f>
        <v/>
      </c>
      <c r="L16" s="11" t="str">
        <f>IF('Preencher pelo celular'!D77="","",'Preencher pelo celular'!D77)</f>
        <v/>
      </c>
      <c r="M16" s="11" t="str">
        <f>IF('Preencher pelo celular'!F77="","",'Preencher pelo celular'!F77)</f>
        <v/>
      </c>
      <c r="N16" s="11" t="str">
        <f>IF('Preencher pelo celular'!C78="","",'Preencher pelo celular'!C78)</f>
        <v/>
      </c>
      <c r="O16" s="11" t="str">
        <f>IF('Preencher pelo celular'!D78="","",'Preencher pelo celular'!D78)</f>
        <v/>
      </c>
      <c r="P16" s="11" t="str">
        <f>IF('Preencher pelo celular'!F78="","",'Preencher pelo celular'!F78)</f>
        <v/>
      </c>
      <c r="Q16" s="11" t="str">
        <f>IF('Preencher pelo celular'!C79="","",'Preencher pelo celular'!C79)</f>
        <v/>
      </c>
      <c r="R16" s="11" t="str">
        <f>IF('Preencher pelo celular'!D79="","",'Preencher pelo celular'!D79)</f>
        <v/>
      </c>
      <c r="S16" s="11" t="str">
        <f>IF('Preencher pelo celular'!F79="","",'Preencher pelo celular'!F79)</f>
        <v/>
      </c>
      <c r="T16" s="14" t="str">
        <f t="shared" si="0"/>
        <v/>
      </c>
      <c r="U16" s="14" t="str">
        <f t="shared" si="1"/>
        <v/>
      </c>
      <c r="V16" s="14" t="str">
        <f t="shared" si="2"/>
        <v/>
      </c>
    </row>
    <row r="17" spans="1:22" x14ac:dyDescent="0.25">
      <c r="A17" s="15">
        <f>'Preencher pelo celular'!A80</f>
        <v>46303</v>
      </c>
      <c r="B17" s="16" t="str">
        <f>IF('Preencher pelo celular'!C80="","",'Preencher pelo celular'!C80)</f>
        <v/>
      </c>
      <c r="C17" s="16" t="str">
        <f>IF('Preencher pelo celular'!D80="","",'Preencher pelo celular'!D80)</f>
        <v/>
      </c>
      <c r="D17" s="16" t="str">
        <f>IF('Preencher pelo celular'!F80="","",'Preencher pelo celular'!F80)</f>
        <v/>
      </c>
      <c r="E17" s="16" t="str">
        <f>IF('Preencher pelo celular'!C81="","",'Preencher pelo celular'!C81)</f>
        <v/>
      </c>
      <c r="F17" s="16" t="str">
        <f>IF('Preencher pelo celular'!D81="","",'Preencher pelo celular'!D81)</f>
        <v/>
      </c>
      <c r="G17" s="16" t="str">
        <f>IF('Preencher pelo celular'!F81="","",'Preencher pelo celular'!F81)</f>
        <v/>
      </c>
      <c r="H17" s="16" t="str">
        <f>IF('Preencher pelo celular'!C82="","",'Preencher pelo celular'!C82)</f>
        <v/>
      </c>
      <c r="I17" s="16" t="str">
        <f>IF('Preencher pelo celular'!D82="","",'Preencher pelo celular'!D82)</f>
        <v/>
      </c>
      <c r="J17" s="16" t="str">
        <f>IF('Preencher pelo celular'!F82="","",'Preencher pelo celular'!F82)</f>
        <v/>
      </c>
      <c r="K17" s="16" t="str">
        <f>IF('Preencher pelo celular'!C83="","",'Preencher pelo celular'!C83)</f>
        <v/>
      </c>
      <c r="L17" s="16" t="str">
        <f>IF('Preencher pelo celular'!D83="","",'Preencher pelo celular'!D83)</f>
        <v/>
      </c>
      <c r="M17" s="16" t="str">
        <f>IF('Preencher pelo celular'!F83="","",'Preencher pelo celular'!F83)</f>
        <v/>
      </c>
      <c r="N17" s="16" t="str">
        <f>IF('Preencher pelo celular'!C84="","",'Preencher pelo celular'!C84)</f>
        <v/>
      </c>
      <c r="O17" s="16" t="str">
        <f>IF('Preencher pelo celular'!D84="","",'Preencher pelo celular'!D84)</f>
        <v/>
      </c>
      <c r="P17" s="16" t="str">
        <f>IF('Preencher pelo celular'!F84="","",'Preencher pelo celular'!F84)</f>
        <v/>
      </c>
      <c r="Q17" s="16" t="str">
        <f>IF('Preencher pelo celular'!C85="","",'Preencher pelo celular'!C85)</f>
        <v/>
      </c>
      <c r="R17" s="16" t="str">
        <f>IF('Preencher pelo celular'!D85="","",'Preencher pelo celular'!D85)</f>
        <v/>
      </c>
      <c r="S17" s="16" t="str">
        <f>IF('Preencher pelo celular'!F85="","",'Preencher pelo celular'!F85)</f>
        <v/>
      </c>
      <c r="T17" s="14" t="str">
        <f t="shared" si="0"/>
        <v/>
      </c>
      <c r="U17" s="14" t="str">
        <f t="shared" si="1"/>
        <v/>
      </c>
      <c r="V17" s="14" t="str">
        <f t="shared" si="2"/>
        <v/>
      </c>
    </row>
    <row r="18" spans="1:22" x14ac:dyDescent="0.25">
      <c r="A18" s="13">
        <f>'Preencher pelo celular'!A86</f>
        <v>46304</v>
      </c>
      <c r="B18" s="11" t="str">
        <f>IF('Preencher pelo celular'!C86="","",'Preencher pelo celular'!C86)</f>
        <v/>
      </c>
      <c r="C18" s="11" t="str">
        <f>IF('Preencher pelo celular'!D86="","",'Preencher pelo celular'!D86)</f>
        <v/>
      </c>
      <c r="D18" s="11" t="str">
        <f>IF('Preencher pelo celular'!F86="","",'Preencher pelo celular'!F86)</f>
        <v/>
      </c>
      <c r="E18" s="11" t="str">
        <f>IF('Preencher pelo celular'!C87="","",'Preencher pelo celular'!C87)</f>
        <v/>
      </c>
      <c r="F18" s="11" t="str">
        <f>IF('Preencher pelo celular'!D87="","",'Preencher pelo celular'!D87)</f>
        <v/>
      </c>
      <c r="G18" s="11" t="str">
        <f>IF('Preencher pelo celular'!F87="","",'Preencher pelo celular'!F87)</f>
        <v/>
      </c>
      <c r="H18" s="11" t="str">
        <f>IF('Preencher pelo celular'!C88="","",'Preencher pelo celular'!C88)</f>
        <v/>
      </c>
      <c r="I18" s="11" t="str">
        <f>IF('Preencher pelo celular'!D88="","",'Preencher pelo celular'!D88)</f>
        <v/>
      </c>
      <c r="J18" s="11" t="str">
        <f>IF('Preencher pelo celular'!F88="","",'Preencher pelo celular'!F88)</f>
        <v/>
      </c>
      <c r="K18" s="11" t="str">
        <f>IF('Preencher pelo celular'!C89="","",'Preencher pelo celular'!C89)</f>
        <v/>
      </c>
      <c r="L18" s="11" t="str">
        <f>IF('Preencher pelo celular'!D89="","",'Preencher pelo celular'!D89)</f>
        <v/>
      </c>
      <c r="M18" s="11" t="str">
        <f>IF('Preencher pelo celular'!F89="","",'Preencher pelo celular'!F89)</f>
        <v/>
      </c>
      <c r="N18" s="11" t="str">
        <f>IF('Preencher pelo celular'!C90="","",'Preencher pelo celular'!C90)</f>
        <v/>
      </c>
      <c r="O18" s="11" t="str">
        <f>IF('Preencher pelo celular'!D90="","",'Preencher pelo celular'!D90)</f>
        <v/>
      </c>
      <c r="P18" s="11" t="str">
        <f>IF('Preencher pelo celular'!F90="","",'Preencher pelo celular'!F90)</f>
        <v/>
      </c>
      <c r="Q18" s="11" t="str">
        <f>IF('Preencher pelo celular'!C91="","",'Preencher pelo celular'!C91)</f>
        <v/>
      </c>
      <c r="R18" s="11" t="str">
        <f>IF('Preencher pelo celular'!D91="","",'Preencher pelo celular'!D91)</f>
        <v/>
      </c>
      <c r="S18" s="11" t="str">
        <f>IF('Preencher pelo celular'!F91="","",'Preencher pelo celular'!F91)</f>
        <v/>
      </c>
      <c r="T18" s="14" t="str">
        <f t="shared" si="0"/>
        <v/>
      </c>
      <c r="U18" s="14" t="str">
        <f t="shared" si="1"/>
        <v/>
      </c>
      <c r="V18" s="14" t="str">
        <f t="shared" si="2"/>
        <v/>
      </c>
    </row>
    <row r="19" spans="1:22" x14ac:dyDescent="0.25">
      <c r="A19" s="15">
        <f>'Preencher pelo celular'!A92</f>
        <v>46305</v>
      </c>
      <c r="B19" s="16" t="str">
        <f>IF('Preencher pelo celular'!C92="","",'Preencher pelo celular'!C92)</f>
        <v/>
      </c>
      <c r="C19" s="16" t="str">
        <f>IF('Preencher pelo celular'!D92="","",'Preencher pelo celular'!D92)</f>
        <v/>
      </c>
      <c r="D19" s="16" t="str">
        <f>IF('Preencher pelo celular'!F92="","",'Preencher pelo celular'!F92)</f>
        <v/>
      </c>
      <c r="E19" s="16" t="str">
        <f>IF('Preencher pelo celular'!C93="","",'Preencher pelo celular'!C93)</f>
        <v/>
      </c>
      <c r="F19" s="16" t="str">
        <f>IF('Preencher pelo celular'!D93="","",'Preencher pelo celular'!D93)</f>
        <v/>
      </c>
      <c r="G19" s="16" t="str">
        <f>IF('Preencher pelo celular'!F93="","",'Preencher pelo celular'!F93)</f>
        <v/>
      </c>
      <c r="H19" s="16" t="str">
        <f>IF('Preencher pelo celular'!C94="","",'Preencher pelo celular'!C94)</f>
        <v/>
      </c>
      <c r="I19" s="16" t="str">
        <f>IF('Preencher pelo celular'!D94="","",'Preencher pelo celular'!D94)</f>
        <v/>
      </c>
      <c r="J19" s="16" t="str">
        <f>IF('Preencher pelo celular'!F94="","",'Preencher pelo celular'!F94)</f>
        <v/>
      </c>
      <c r="K19" s="16" t="str">
        <f>IF('Preencher pelo celular'!C95="","",'Preencher pelo celular'!C95)</f>
        <v/>
      </c>
      <c r="L19" s="16" t="str">
        <f>IF('Preencher pelo celular'!D95="","",'Preencher pelo celular'!D95)</f>
        <v/>
      </c>
      <c r="M19" s="16" t="str">
        <f>IF('Preencher pelo celular'!F95="","",'Preencher pelo celular'!F95)</f>
        <v/>
      </c>
      <c r="N19" s="16" t="str">
        <f>IF('Preencher pelo celular'!C96="","",'Preencher pelo celular'!C96)</f>
        <v/>
      </c>
      <c r="O19" s="16" t="str">
        <f>IF('Preencher pelo celular'!D96="","",'Preencher pelo celular'!D96)</f>
        <v/>
      </c>
      <c r="P19" s="16" t="str">
        <f>IF('Preencher pelo celular'!F96="","",'Preencher pelo celular'!F96)</f>
        <v/>
      </c>
      <c r="Q19" s="16" t="str">
        <f>IF('Preencher pelo celular'!C97="","",'Preencher pelo celular'!C97)</f>
        <v/>
      </c>
      <c r="R19" s="16" t="str">
        <f>IF('Preencher pelo celular'!D97="","",'Preencher pelo celular'!D97)</f>
        <v/>
      </c>
      <c r="S19" s="16" t="str">
        <f>IF('Preencher pelo celular'!F97="","",'Preencher pelo celular'!F97)</f>
        <v/>
      </c>
      <c r="T19" s="14" t="str">
        <f t="shared" si="0"/>
        <v/>
      </c>
      <c r="U19" s="14" t="str">
        <f t="shared" si="1"/>
        <v/>
      </c>
      <c r="V19" s="14" t="str">
        <f t="shared" si="2"/>
        <v/>
      </c>
    </row>
    <row r="20" spans="1:22" x14ac:dyDescent="0.25">
      <c r="A20" s="13">
        <f>'Preencher pelo celular'!A98</f>
        <v>46306</v>
      </c>
      <c r="B20" s="11" t="str">
        <f>IF('Preencher pelo celular'!C98="","",'Preencher pelo celular'!C98)</f>
        <v/>
      </c>
      <c r="C20" s="11" t="str">
        <f>IF('Preencher pelo celular'!D98="","",'Preencher pelo celular'!D98)</f>
        <v/>
      </c>
      <c r="D20" s="11" t="str">
        <f>IF('Preencher pelo celular'!F98="","",'Preencher pelo celular'!F98)</f>
        <v/>
      </c>
      <c r="E20" s="11" t="str">
        <f>IF('Preencher pelo celular'!C99="","",'Preencher pelo celular'!C99)</f>
        <v/>
      </c>
      <c r="F20" s="11" t="str">
        <f>IF('Preencher pelo celular'!D99="","",'Preencher pelo celular'!D99)</f>
        <v/>
      </c>
      <c r="G20" s="11" t="str">
        <f>IF('Preencher pelo celular'!F99="","",'Preencher pelo celular'!F99)</f>
        <v/>
      </c>
      <c r="H20" s="11" t="str">
        <f>IF('Preencher pelo celular'!C100="","",'Preencher pelo celular'!C100)</f>
        <v/>
      </c>
      <c r="I20" s="11" t="str">
        <f>IF('Preencher pelo celular'!D100="","",'Preencher pelo celular'!D100)</f>
        <v/>
      </c>
      <c r="J20" s="11" t="str">
        <f>IF('Preencher pelo celular'!F100="","",'Preencher pelo celular'!F100)</f>
        <v/>
      </c>
      <c r="K20" s="11" t="str">
        <f>IF('Preencher pelo celular'!C101="","",'Preencher pelo celular'!C101)</f>
        <v/>
      </c>
      <c r="L20" s="11" t="str">
        <f>IF('Preencher pelo celular'!D101="","",'Preencher pelo celular'!D101)</f>
        <v/>
      </c>
      <c r="M20" s="11" t="str">
        <f>IF('Preencher pelo celular'!F101="","",'Preencher pelo celular'!F101)</f>
        <v/>
      </c>
      <c r="N20" s="11" t="str">
        <f>IF('Preencher pelo celular'!C102="","",'Preencher pelo celular'!C102)</f>
        <v/>
      </c>
      <c r="O20" s="11" t="str">
        <f>IF('Preencher pelo celular'!D102="","",'Preencher pelo celular'!D102)</f>
        <v/>
      </c>
      <c r="P20" s="11" t="str">
        <f>IF('Preencher pelo celular'!F102="","",'Preencher pelo celular'!F102)</f>
        <v/>
      </c>
      <c r="Q20" s="11" t="str">
        <f>IF('Preencher pelo celular'!C103="","",'Preencher pelo celular'!C103)</f>
        <v/>
      </c>
      <c r="R20" s="11" t="str">
        <f>IF('Preencher pelo celular'!D103="","",'Preencher pelo celular'!D103)</f>
        <v/>
      </c>
      <c r="S20" s="11" t="str">
        <f>IF('Preencher pelo celular'!F103="","",'Preencher pelo celular'!F103)</f>
        <v/>
      </c>
      <c r="T20" s="14" t="str">
        <f t="shared" si="0"/>
        <v/>
      </c>
      <c r="U20" s="14" t="str">
        <f t="shared" si="1"/>
        <v/>
      </c>
      <c r="V20" s="14" t="str">
        <f t="shared" si="2"/>
        <v/>
      </c>
    </row>
    <row r="21" spans="1:22" x14ac:dyDescent="0.25">
      <c r="A21" s="15">
        <f>'Preencher pelo celular'!A104</f>
        <v>46307</v>
      </c>
      <c r="B21" s="16" t="str">
        <f>IF('Preencher pelo celular'!C104="","",'Preencher pelo celular'!C104)</f>
        <v/>
      </c>
      <c r="C21" s="16" t="str">
        <f>IF('Preencher pelo celular'!D104="","",'Preencher pelo celular'!D104)</f>
        <v/>
      </c>
      <c r="D21" s="16" t="str">
        <f>IF('Preencher pelo celular'!F104="","",'Preencher pelo celular'!F104)</f>
        <v/>
      </c>
      <c r="E21" s="16" t="str">
        <f>IF('Preencher pelo celular'!C105="","",'Preencher pelo celular'!C105)</f>
        <v/>
      </c>
      <c r="F21" s="16" t="str">
        <f>IF('Preencher pelo celular'!D105="","",'Preencher pelo celular'!D105)</f>
        <v/>
      </c>
      <c r="G21" s="16" t="str">
        <f>IF('Preencher pelo celular'!F105="","",'Preencher pelo celular'!F105)</f>
        <v/>
      </c>
      <c r="H21" s="16" t="str">
        <f>IF('Preencher pelo celular'!C106="","",'Preencher pelo celular'!C106)</f>
        <v/>
      </c>
      <c r="I21" s="16" t="str">
        <f>IF('Preencher pelo celular'!D106="","",'Preencher pelo celular'!D106)</f>
        <v/>
      </c>
      <c r="J21" s="16" t="str">
        <f>IF('Preencher pelo celular'!F106="","",'Preencher pelo celular'!F106)</f>
        <v/>
      </c>
      <c r="K21" s="16" t="str">
        <f>IF('Preencher pelo celular'!C107="","",'Preencher pelo celular'!C107)</f>
        <v/>
      </c>
      <c r="L21" s="16" t="str">
        <f>IF('Preencher pelo celular'!D107="","",'Preencher pelo celular'!D107)</f>
        <v/>
      </c>
      <c r="M21" s="16" t="str">
        <f>IF('Preencher pelo celular'!F107="","",'Preencher pelo celular'!F107)</f>
        <v/>
      </c>
      <c r="N21" s="16" t="str">
        <f>IF('Preencher pelo celular'!C108="","",'Preencher pelo celular'!C108)</f>
        <v/>
      </c>
      <c r="O21" s="16" t="str">
        <f>IF('Preencher pelo celular'!D108="","",'Preencher pelo celular'!D108)</f>
        <v/>
      </c>
      <c r="P21" s="16" t="str">
        <f>IF('Preencher pelo celular'!F108="","",'Preencher pelo celular'!F108)</f>
        <v/>
      </c>
      <c r="Q21" s="16" t="str">
        <f>IF('Preencher pelo celular'!C109="","",'Preencher pelo celular'!C109)</f>
        <v/>
      </c>
      <c r="R21" s="16" t="str">
        <f>IF('Preencher pelo celular'!D109="","",'Preencher pelo celular'!D109)</f>
        <v/>
      </c>
      <c r="S21" s="16" t="str">
        <f>IF('Preencher pelo celular'!F109="","",'Preencher pelo celular'!F109)</f>
        <v/>
      </c>
      <c r="T21" s="14" t="str">
        <f t="shared" si="0"/>
        <v/>
      </c>
      <c r="U21" s="14" t="str">
        <f t="shared" si="1"/>
        <v/>
      </c>
      <c r="V21" s="14" t="str">
        <f t="shared" si="2"/>
        <v/>
      </c>
    </row>
    <row r="22" spans="1:22" x14ac:dyDescent="0.25">
      <c r="A22" s="13">
        <f>'Preencher pelo celular'!A110</f>
        <v>46308</v>
      </c>
      <c r="B22" s="11" t="str">
        <f>IF('Preencher pelo celular'!C110="","",'Preencher pelo celular'!C110)</f>
        <v/>
      </c>
      <c r="C22" s="11" t="str">
        <f>IF('Preencher pelo celular'!D110="","",'Preencher pelo celular'!D110)</f>
        <v/>
      </c>
      <c r="D22" s="11" t="str">
        <f>IF('Preencher pelo celular'!F110="","",'Preencher pelo celular'!F110)</f>
        <v/>
      </c>
      <c r="E22" s="11" t="str">
        <f>IF('Preencher pelo celular'!C111="","",'Preencher pelo celular'!C111)</f>
        <v/>
      </c>
      <c r="F22" s="11" t="str">
        <f>IF('Preencher pelo celular'!D111="","",'Preencher pelo celular'!D111)</f>
        <v/>
      </c>
      <c r="G22" s="11" t="str">
        <f>IF('Preencher pelo celular'!F111="","",'Preencher pelo celular'!F111)</f>
        <v/>
      </c>
      <c r="H22" s="11" t="str">
        <f>IF('Preencher pelo celular'!C112="","",'Preencher pelo celular'!C112)</f>
        <v/>
      </c>
      <c r="I22" s="11" t="str">
        <f>IF('Preencher pelo celular'!D112="","",'Preencher pelo celular'!D112)</f>
        <v/>
      </c>
      <c r="J22" s="11" t="str">
        <f>IF('Preencher pelo celular'!F112="","",'Preencher pelo celular'!F112)</f>
        <v/>
      </c>
      <c r="K22" s="11" t="str">
        <f>IF('Preencher pelo celular'!C113="","",'Preencher pelo celular'!C113)</f>
        <v/>
      </c>
      <c r="L22" s="11" t="str">
        <f>IF('Preencher pelo celular'!D113="","",'Preencher pelo celular'!D113)</f>
        <v/>
      </c>
      <c r="M22" s="11" t="str">
        <f>IF('Preencher pelo celular'!F113="","",'Preencher pelo celular'!F113)</f>
        <v/>
      </c>
      <c r="N22" s="11" t="str">
        <f>IF('Preencher pelo celular'!C114="","",'Preencher pelo celular'!C114)</f>
        <v/>
      </c>
      <c r="O22" s="11" t="str">
        <f>IF('Preencher pelo celular'!D114="","",'Preencher pelo celular'!D114)</f>
        <v/>
      </c>
      <c r="P22" s="11" t="str">
        <f>IF('Preencher pelo celular'!F114="","",'Preencher pelo celular'!F114)</f>
        <v/>
      </c>
      <c r="Q22" s="11" t="str">
        <f>IF('Preencher pelo celular'!C115="","",'Preencher pelo celular'!C115)</f>
        <v/>
      </c>
      <c r="R22" s="11" t="str">
        <f>IF('Preencher pelo celular'!D115="","",'Preencher pelo celular'!D115)</f>
        <v/>
      </c>
      <c r="S22" s="11" t="str">
        <f>IF('Preencher pelo celular'!F115="","",'Preencher pelo celular'!F115)</f>
        <v/>
      </c>
      <c r="T22" s="14" t="str">
        <f t="shared" si="0"/>
        <v/>
      </c>
      <c r="U22" s="14" t="str">
        <f t="shared" si="1"/>
        <v/>
      </c>
      <c r="V22" s="14" t="str">
        <f t="shared" si="2"/>
        <v/>
      </c>
    </row>
    <row r="23" spans="1:22" x14ac:dyDescent="0.25">
      <c r="A23" s="15">
        <f>'Preencher pelo celular'!A116</f>
        <v>46309</v>
      </c>
      <c r="B23" s="16" t="str">
        <f>IF('Preencher pelo celular'!C116="","",'Preencher pelo celular'!C116)</f>
        <v/>
      </c>
      <c r="C23" s="16" t="str">
        <f>IF('Preencher pelo celular'!D116="","",'Preencher pelo celular'!D116)</f>
        <v/>
      </c>
      <c r="D23" s="16" t="str">
        <f>IF('Preencher pelo celular'!F116="","",'Preencher pelo celular'!F116)</f>
        <v/>
      </c>
      <c r="E23" s="16" t="str">
        <f>IF('Preencher pelo celular'!C117="","",'Preencher pelo celular'!C117)</f>
        <v/>
      </c>
      <c r="F23" s="16" t="str">
        <f>IF('Preencher pelo celular'!D117="","",'Preencher pelo celular'!D117)</f>
        <v/>
      </c>
      <c r="G23" s="16" t="str">
        <f>IF('Preencher pelo celular'!F117="","",'Preencher pelo celular'!F117)</f>
        <v/>
      </c>
      <c r="H23" s="16" t="str">
        <f>IF('Preencher pelo celular'!C118="","",'Preencher pelo celular'!C118)</f>
        <v/>
      </c>
      <c r="I23" s="16" t="str">
        <f>IF('Preencher pelo celular'!D118="","",'Preencher pelo celular'!D118)</f>
        <v/>
      </c>
      <c r="J23" s="16" t="str">
        <f>IF('Preencher pelo celular'!F118="","",'Preencher pelo celular'!F118)</f>
        <v/>
      </c>
      <c r="K23" s="16" t="str">
        <f>IF('Preencher pelo celular'!C119="","",'Preencher pelo celular'!C119)</f>
        <v/>
      </c>
      <c r="L23" s="16" t="str">
        <f>IF('Preencher pelo celular'!D119="","",'Preencher pelo celular'!D119)</f>
        <v/>
      </c>
      <c r="M23" s="16" t="str">
        <f>IF('Preencher pelo celular'!F119="","",'Preencher pelo celular'!F119)</f>
        <v/>
      </c>
      <c r="N23" s="16" t="str">
        <f>IF('Preencher pelo celular'!C120="","",'Preencher pelo celular'!C120)</f>
        <v/>
      </c>
      <c r="O23" s="16" t="str">
        <f>IF('Preencher pelo celular'!D120="","",'Preencher pelo celular'!D120)</f>
        <v/>
      </c>
      <c r="P23" s="16" t="str">
        <f>IF('Preencher pelo celular'!F120="","",'Preencher pelo celular'!F120)</f>
        <v/>
      </c>
      <c r="Q23" s="16" t="str">
        <f>IF('Preencher pelo celular'!C121="","",'Preencher pelo celular'!C121)</f>
        <v/>
      </c>
      <c r="R23" s="16" t="str">
        <f>IF('Preencher pelo celular'!D121="","",'Preencher pelo celular'!D121)</f>
        <v/>
      </c>
      <c r="S23" s="16" t="str">
        <f>IF('Preencher pelo celular'!F121="","",'Preencher pelo celular'!F121)</f>
        <v/>
      </c>
      <c r="T23" s="14" t="str">
        <f t="shared" si="0"/>
        <v/>
      </c>
      <c r="U23" s="14" t="str">
        <f t="shared" si="1"/>
        <v/>
      </c>
      <c r="V23" s="14" t="str">
        <f t="shared" si="2"/>
        <v/>
      </c>
    </row>
    <row r="24" spans="1:22" x14ac:dyDescent="0.25">
      <c r="A24" s="13">
        <f>'Preencher pelo celular'!A122</f>
        <v>46310</v>
      </c>
      <c r="B24" s="11" t="str">
        <f>IF('Preencher pelo celular'!C122="","",'Preencher pelo celular'!C122)</f>
        <v/>
      </c>
      <c r="C24" s="11" t="str">
        <f>IF('Preencher pelo celular'!D122="","",'Preencher pelo celular'!D122)</f>
        <v/>
      </c>
      <c r="D24" s="11" t="str">
        <f>IF('Preencher pelo celular'!F122="","",'Preencher pelo celular'!F122)</f>
        <v/>
      </c>
      <c r="E24" s="11" t="str">
        <f>IF('Preencher pelo celular'!C123="","",'Preencher pelo celular'!C123)</f>
        <v/>
      </c>
      <c r="F24" s="11" t="str">
        <f>IF('Preencher pelo celular'!D123="","",'Preencher pelo celular'!D123)</f>
        <v/>
      </c>
      <c r="G24" s="11" t="str">
        <f>IF('Preencher pelo celular'!F123="","",'Preencher pelo celular'!F123)</f>
        <v/>
      </c>
      <c r="H24" s="11" t="str">
        <f>IF('Preencher pelo celular'!C124="","",'Preencher pelo celular'!C124)</f>
        <v/>
      </c>
      <c r="I24" s="11" t="str">
        <f>IF('Preencher pelo celular'!D124="","",'Preencher pelo celular'!D124)</f>
        <v/>
      </c>
      <c r="J24" s="11" t="str">
        <f>IF('Preencher pelo celular'!F124="","",'Preencher pelo celular'!F124)</f>
        <v/>
      </c>
      <c r="K24" s="11" t="str">
        <f>IF('Preencher pelo celular'!C125="","",'Preencher pelo celular'!C125)</f>
        <v/>
      </c>
      <c r="L24" s="11" t="str">
        <f>IF('Preencher pelo celular'!D125="","",'Preencher pelo celular'!D125)</f>
        <v/>
      </c>
      <c r="M24" s="11" t="str">
        <f>IF('Preencher pelo celular'!F125="","",'Preencher pelo celular'!F125)</f>
        <v/>
      </c>
      <c r="N24" s="11" t="str">
        <f>IF('Preencher pelo celular'!C126="","",'Preencher pelo celular'!C126)</f>
        <v/>
      </c>
      <c r="O24" s="11" t="str">
        <f>IF('Preencher pelo celular'!D126="","",'Preencher pelo celular'!D126)</f>
        <v/>
      </c>
      <c r="P24" s="11" t="str">
        <f>IF('Preencher pelo celular'!F126="","",'Preencher pelo celular'!F126)</f>
        <v/>
      </c>
      <c r="Q24" s="11" t="str">
        <f>IF('Preencher pelo celular'!C127="","",'Preencher pelo celular'!C127)</f>
        <v/>
      </c>
      <c r="R24" s="11" t="str">
        <f>IF('Preencher pelo celular'!D127="","",'Preencher pelo celular'!D127)</f>
        <v/>
      </c>
      <c r="S24" s="11" t="str">
        <f>IF('Preencher pelo celular'!F127="","",'Preencher pelo celular'!F127)</f>
        <v/>
      </c>
      <c r="T24" s="14" t="str">
        <f t="shared" si="0"/>
        <v/>
      </c>
      <c r="U24" s="14" t="str">
        <f t="shared" si="1"/>
        <v/>
      </c>
      <c r="V24" s="14" t="str">
        <f t="shared" si="2"/>
        <v/>
      </c>
    </row>
    <row r="25" spans="1:22" x14ac:dyDescent="0.25">
      <c r="A25" s="15">
        <f>'Preencher pelo celular'!A128</f>
        <v>46311</v>
      </c>
      <c r="B25" s="16" t="str">
        <f>IF('Preencher pelo celular'!C128="","",'Preencher pelo celular'!C128)</f>
        <v/>
      </c>
      <c r="C25" s="16" t="str">
        <f>IF('Preencher pelo celular'!D128="","",'Preencher pelo celular'!D128)</f>
        <v/>
      </c>
      <c r="D25" s="16" t="str">
        <f>IF('Preencher pelo celular'!F128="","",'Preencher pelo celular'!F128)</f>
        <v/>
      </c>
      <c r="E25" s="16" t="str">
        <f>IF('Preencher pelo celular'!C129="","",'Preencher pelo celular'!C129)</f>
        <v/>
      </c>
      <c r="F25" s="16" t="str">
        <f>IF('Preencher pelo celular'!D129="","",'Preencher pelo celular'!D129)</f>
        <v/>
      </c>
      <c r="G25" s="16" t="str">
        <f>IF('Preencher pelo celular'!F129="","",'Preencher pelo celular'!F129)</f>
        <v/>
      </c>
      <c r="H25" s="16" t="str">
        <f>IF('Preencher pelo celular'!C130="","",'Preencher pelo celular'!C130)</f>
        <v/>
      </c>
      <c r="I25" s="16" t="str">
        <f>IF('Preencher pelo celular'!D130="","",'Preencher pelo celular'!D130)</f>
        <v/>
      </c>
      <c r="J25" s="16" t="str">
        <f>IF('Preencher pelo celular'!F130="","",'Preencher pelo celular'!F130)</f>
        <v/>
      </c>
      <c r="K25" s="16" t="str">
        <f>IF('Preencher pelo celular'!C131="","",'Preencher pelo celular'!C131)</f>
        <v/>
      </c>
      <c r="L25" s="16" t="str">
        <f>IF('Preencher pelo celular'!D131="","",'Preencher pelo celular'!D131)</f>
        <v/>
      </c>
      <c r="M25" s="16" t="str">
        <f>IF('Preencher pelo celular'!F131="","",'Preencher pelo celular'!F131)</f>
        <v/>
      </c>
      <c r="N25" s="16" t="str">
        <f>IF('Preencher pelo celular'!C132="","",'Preencher pelo celular'!C132)</f>
        <v/>
      </c>
      <c r="O25" s="16" t="str">
        <f>IF('Preencher pelo celular'!D132="","",'Preencher pelo celular'!D132)</f>
        <v/>
      </c>
      <c r="P25" s="16" t="str">
        <f>IF('Preencher pelo celular'!F132="","",'Preencher pelo celular'!F132)</f>
        <v/>
      </c>
      <c r="Q25" s="16" t="str">
        <f>IF('Preencher pelo celular'!C133="","",'Preencher pelo celular'!C133)</f>
        <v/>
      </c>
      <c r="R25" s="16" t="str">
        <f>IF('Preencher pelo celular'!D133="","",'Preencher pelo celular'!D133)</f>
        <v/>
      </c>
      <c r="S25" s="16" t="str">
        <f>IF('Preencher pelo celular'!F133="","",'Preencher pelo celular'!F133)</f>
        <v/>
      </c>
      <c r="T25" s="14" t="str">
        <f t="shared" si="0"/>
        <v/>
      </c>
      <c r="U25" s="14" t="str">
        <f t="shared" si="1"/>
        <v/>
      </c>
      <c r="V25" s="14" t="str">
        <f t="shared" si="2"/>
        <v/>
      </c>
    </row>
    <row r="26" spans="1:22" x14ac:dyDescent="0.25">
      <c r="A26" s="13">
        <f>'Preencher pelo celular'!A134</f>
        <v>46312</v>
      </c>
      <c r="B26" s="11" t="str">
        <f>IF('Preencher pelo celular'!C134="","",'Preencher pelo celular'!C134)</f>
        <v/>
      </c>
      <c r="C26" s="11" t="str">
        <f>IF('Preencher pelo celular'!D134="","",'Preencher pelo celular'!D134)</f>
        <v/>
      </c>
      <c r="D26" s="11" t="str">
        <f>IF('Preencher pelo celular'!F134="","",'Preencher pelo celular'!F134)</f>
        <v/>
      </c>
      <c r="E26" s="11" t="str">
        <f>IF('Preencher pelo celular'!C135="","",'Preencher pelo celular'!C135)</f>
        <v/>
      </c>
      <c r="F26" s="11" t="str">
        <f>IF('Preencher pelo celular'!D135="","",'Preencher pelo celular'!D135)</f>
        <v/>
      </c>
      <c r="G26" s="11" t="str">
        <f>IF('Preencher pelo celular'!F135="","",'Preencher pelo celular'!F135)</f>
        <v/>
      </c>
      <c r="H26" s="11" t="str">
        <f>IF('Preencher pelo celular'!C136="","",'Preencher pelo celular'!C136)</f>
        <v/>
      </c>
      <c r="I26" s="11" t="str">
        <f>IF('Preencher pelo celular'!D136="","",'Preencher pelo celular'!D136)</f>
        <v/>
      </c>
      <c r="J26" s="11" t="str">
        <f>IF('Preencher pelo celular'!F136="","",'Preencher pelo celular'!F136)</f>
        <v/>
      </c>
      <c r="K26" s="11" t="str">
        <f>IF('Preencher pelo celular'!C137="","",'Preencher pelo celular'!C137)</f>
        <v/>
      </c>
      <c r="L26" s="11" t="str">
        <f>IF('Preencher pelo celular'!D137="","",'Preencher pelo celular'!D137)</f>
        <v/>
      </c>
      <c r="M26" s="11" t="str">
        <f>IF('Preencher pelo celular'!F137="","",'Preencher pelo celular'!F137)</f>
        <v/>
      </c>
      <c r="N26" s="11" t="str">
        <f>IF('Preencher pelo celular'!C138="","",'Preencher pelo celular'!C138)</f>
        <v/>
      </c>
      <c r="O26" s="11" t="str">
        <f>IF('Preencher pelo celular'!D138="","",'Preencher pelo celular'!D138)</f>
        <v/>
      </c>
      <c r="P26" s="11" t="str">
        <f>IF('Preencher pelo celular'!F138="","",'Preencher pelo celular'!F138)</f>
        <v/>
      </c>
      <c r="Q26" s="11" t="str">
        <f>IF('Preencher pelo celular'!C139="","",'Preencher pelo celular'!C139)</f>
        <v/>
      </c>
      <c r="R26" s="11" t="str">
        <f>IF('Preencher pelo celular'!D139="","",'Preencher pelo celular'!D139)</f>
        <v/>
      </c>
      <c r="S26" s="11" t="str">
        <f>IF('Preencher pelo celular'!F139="","",'Preencher pelo celular'!F139)</f>
        <v/>
      </c>
      <c r="T26" s="14" t="str">
        <f t="shared" si="0"/>
        <v/>
      </c>
      <c r="U26" s="14" t="str">
        <f t="shared" si="1"/>
        <v/>
      </c>
      <c r="V26" s="14" t="str">
        <f t="shared" si="2"/>
        <v/>
      </c>
    </row>
    <row r="27" spans="1:22" x14ac:dyDescent="0.25">
      <c r="A27" s="15">
        <f>'Preencher pelo celular'!A140</f>
        <v>46313</v>
      </c>
      <c r="B27" s="16" t="str">
        <f>IF('Preencher pelo celular'!C140="","",'Preencher pelo celular'!C140)</f>
        <v/>
      </c>
      <c r="C27" s="16" t="str">
        <f>IF('Preencher pelo celular'!D140="","",'Preencher pelo celular'!D140)</f>
        <v/>
      </c>
      <c r="D27" s="16" t="str">
        <f>IF('Preencher pelo celular'!F140="","",'Preencher pelo celular'!F140)</f>
        <v/>
      </c>
      <c r="E27" s="16" t="str">
        <f>IF('Preencher pelo celular'!C141="","",'Preencher pelo celular'!C141)</f>
        <v/>
      </c>
      <c r="F27" s="16" t="str">
        <f>IF('Preencher pelo celular'!D141="","",'Preencher pelo celular'!D141)</f>
        <v/>
      </c>
      <c r="G27" s="16" t="str">
        <f>IF('Preencher pelo celular'!F141="","",'Preencher pelo celular'!F141)</f>
        <v/>
      </c>
      <c r="H27" s="16" t="str">
        <f>IF('Preencher pelo celular'!C142="","",'Preencher pelo celular'!C142)</f>
        <v/>
      </c>
      <c r="I27" s="16" t="str">
        <f>IF('Preencher pelo celular'!D142="","",'Preencher pelo celular'!D142)</f>
        <v/>
      </c>
      <c r="J27" s="16" t="str">
        <f>IF('Preencher pelo celular'!F142="","",'Preencher pelo celular'!F142)</f>
        <v/>
      </c>
      <c r="K27" s="16" t="str">
        <f>IF('Preencher pelo celular'!C143="","",'Preencher pelo celular'!C143)</f>
        <v/>
      </c>
      <c r="L27" s="16" t="str">
        <f>IF('Preencher pelo celular'!D143="","",'Preencher pelo celular'!D143)</f>
        <v/>
      </c>
      <c r="M27" s="16" t="str">
        <f>IF('Preencher pelo celular'!F143="","",'Preencher pelo celular'!F143)</f>
        <v/>
      </c>
      <c r="N27" s="16" t="str">
        <f>IF('Preencher pelo celular'!C144="","",'Preencher pelo celular'!C144)</f>
        <v/>
      </c>
      <c r="O27" s="16" t="str">
        <f>IF('Preencher pelo celular'!D144="","",'Preencher pelo celular'!D144)</f>
        <v/>
      </c>
      <c r="P27" s="16" t="str">
        <f>IF('Preencher pelo celular'!F144="","",'Preencher pelo celular'!F144)</f>
        <v/>
      </c>
      <c r="Q27" s="16" t="str">
        <f>IF('Preencher pelo celular'!C145="","",'Preencher pelo celular'!C145)</f>
        <v/>
      </c>
      <c r="R27" s="16" t="str">
        <f>IF('Preencher pelo celular'!D145="","",'Preencher pelo celular'!D145)</f>
        <v/>
      </c>
      <c r="S27" s="16" t="str">
        <f>IF('Preencher pelo celular'!F145="","",'Preencher pelo celular'!F145)</f>
        <v/>
      </c>
      <c r="T27" s="14" t="str">
        <f t="shared" si="0"/>
        <v/>
      </c>
      <c r="U27" s="14" t="str">
        <f t="shared" si="1"/>
        <v/>
      </c>
      <c r="V27" s="14" t="str">
        <f t="shared" si="2"/>
        <v/>
      </c>
    </row>
    <row r="28" spans="1:22" x14ac:dyDescent="0.25">
      <c r="A28" s="13">
        <f>'Preencher pelo celular'!A146</f>
        <v>46314</v>
      </c>
      <c r="B28" s="11" t="str">
        <f>IF('Preencher pelo celular'!C146="","",'Preencher pelo celular'!C146)</f>
        <v/>
      </c>
      <c r="C28" s="11" t="str">
        <f>IF('Preencher pelo celular'!D146="","",'Preencher pelo celular'!D146)</f>
        <v/>
      </c>
      <c r="D28" s="11" t="str">
        <f>IF('Preencher pelo celular'!F146="","",'Preencher pelo celular'!F146)</f>
        <v/>
      </c>
      <c r="E28" s="11" t="str">
        <f>IF('Preencher pelo celular'!C147="","",'Preencher pelo celular'!C147)</f>
        <v/>
      </c>
      <c r="F28" s="11" t="str">
        <f>IF('Preencher pelo celular'!D147="","",'Preencher pelo celular'!D147)</f>
        <v/>
      </c>
      <c r="G28" s="11" t="str">
        <f>IF('Preencher pelo celular'!F147="","",'Preencher pelo celular'!F147)</f>
        <v/>
      </c>
      <c r="H28" s="11" t="str">
        <f>IF('Preencher pelo celular'!C148="","",'Preencher pelo celular'!C148)</f>
        <v/>
      </c>
      <c r="I28" s="11" t="str">
        <f>IF('Preencher pelo celular'!D148="","",'Preencher pelo celular'!D148)</f>
        <v/>
      </c>
      <c r="J28" s="11" t="str">
        <f>IF('Preencher pelo celular'!F148="","",'Preencher pelo celular'!F148)</f>
        <v/>
      </c>
      <c r="K28" s="11" t="str">
        <f>IF('Preencher pelo celular'!C149="","",'Preencher pelo celular'!C149)</f>
        <v/>
      </c>
      <c r="L28" s="11" t="str">
        <f>IF('Preencher pelo celular'!D149="","",'Preencher pelo celular'!D149)</f>
        <v/>
      </c>
      <c r="M28" s="11" t="str">
        <f>IF('Preencher pelo celular'!F149="","",'Preencher pelo celular'!F149)</f>
        <v/>
      </c>
      <c r="N28" s="11" t="str">
        <f>IF('Preencher pelo celular'!C150="","",'Preencher pelo celular'!C150)</f>
        <v/>
      </c>
      <c r="O28" s="11" t="str">
        <f>IF('Preencher pelo celular'!D150="","",'Preencher pelo celular'!D150)</f>
        <v/>
      </c>
      <c r="P28" s="11" t="str">
        <f>IF('Preencher pelo celular'!F150="","",'Preencher pelo celular'!F150)</f>
        <v/>
      </c>
      <c r="Q28" s="11" t="str">
        <f>IF('Preencher pelo celular'!C151="","",'Preencher pelo celular'!C151)</f>
        <v/>
      </c>
      <c r="R28" s="11" t="str">
        <f>IF('Preencher pelo celular'!D151="","",'Preencher pelo celular'!D151)</f>
        <v/>
      </c>
      <c r="S28" s="11" t="str">
        <f>IF('Preencher pelo celular'!F151="","",'Preencher pelo celular'!F151)</f>
        <v/>
      </c>
      <c r="T28" s="14" t="str">
        <f t="shared" si="0"/>
        <v/>
      </c>
      <c r="U28" s="14" t="str">
        <f t="shared" si="1"/>
        <v/>
      </c>
      <c r="V28" s="14" t="str">
        <f t="shared" si="2"/>
        <v/>
      </c>
    </row>
    <row r="29" spans="1:22" x14ac:dyDescent="0.25">
      <c r="A29" s="15">
        <f>'Preencher pelo celular'!A152</f>
        <v>46315</v>
      </c>
      <c r="B29" s="16" t="str">
        <f>IF('Preencher pelo celular'!C152="","",'Preencher pelo celular'!C152)</f>
        <v/>
      </c>
      <c r="C29" s="16" t="str">
        <f>IF('Preencher pelo celular'!D152="","",'Preencher pelo celular'!D152)</f>
        <v/>
      </c>
      <c r="D29" s="16" t="str">
        <f>IF('Preencher pelo celular'!F152="","",'Preencher pelo celular'!F152)</f>
        <v/>
      </c>
      <c r="E29" s="16" t="str">
        <f>IF('Preencher pelo celular'!C153="","",'Preencher pelo celular'!C153)</f>
        <v/>
      </c>
      <c r="F29" s="16" t="str">
        <f>IF('Preencher pelo celular'!D153="","",'Preencher pelo celular'!D153)</f>
        <v/>
      </c>
      <c r="G29" s="16" t="str">
        <f>IF('Preencher pelo celular'!F153="","",'Preencher pelo celular'!F153)</f>
        <v/>
      </c>
      <c r="H29" s="16" t="str">
        <f>IF('Preencher pelo celular'!C154="","",'Preencher pelo celular'!C154)</f>
        <v/>
      </c>
      <c r="I29" s="16" t="str">
        <f>IF('Preencher pelo celular'!D154="","",'Preencher pelo celular'!D154)</f>
        <v/>
      </c>
      <c r="J29" s="16" t="str">
        <f>IF('Preencher pelo celular'!F154="","",'Preencher pelo celular'!F154)</f>
        <v/>
      </c>
      <c r="K29" s="16" t="str">
        <f>IF('Preencher pelo celular'!C155="","",'Preencher pelo celular'!C155)</f>
        <v/>
      </c>
      <c r="L29" s="16" t="str">
        <f>IF('Preencher pelo celular'!D155="","",'Preencher pelo celular'!D155)</f>
        <v/>
      </c>
      <c r="M29" s="16" t="str">
        <f>IF('Preencher pelo celular'!F155="","",'Preencher pelo celular'!F155)</f>
        <v/>
      </c>
      <c r="N29" s="16" t="str">
        <f>IF('Preencher pelo celular'!C156="","",'Preencher pelo celular'!C156)</f>
        <v/>
      </c>
      <c r="O29" s="16" t="str">
        <f>IF('Preencher pelo celular'!D156="","",'Preencher pelo celular'!D156)</f>
        <v/>
      </c>
      <c r="P29" s="16" t="str">
        <f>IF('Preencher pelo celular'!F156="","",'Preencher pelo celular'!F156)</f>
        <v/>
      </c>
      <c r="Q29" s="16" t="str">
        <f>IF('Preencher pelo celular'!C157="","",'Preencher pelo celular'!C157)</f>
        <v/>
      </c>
      <c r="R29" s="16" t="str">
        <f>IF('Preencher pelo celular'!D157="","",'Preencher pelo celular'!D157)</f>
        <v/>
      </c>
      <c r="S29" s="16" t="str">
        <f>IF('Preencher pelo celular'!F157="","",'Preencher pelo celular'!F157)</f>
        <v/>
      </c>
      <c r="T29" s="14" t="str">
        <f t="shared" si="0"/>
        <v/>
      </c>
      <c r="U29" s="14" t="str">
        <f t="shared" si="1"/>
        <v/>
      </c>
      <c r="V29" s="14" t="str">
        <f t="shared" si="2"/>
        <v/>
      </c>
    </row>
    <row r="30" spans="1:22" x14ac:dyDescent="0.25">
      <c r="A30" s="13">
        <f>'Preencher pelo celular'!A158</f>
        <v>46316</v>
      </c>
      <c r="B30" s="11" t="str">
        <f>IF('Preencher pelo celular'!C158="","",'Preencher pelo celular'!C158)</f>
        <v/>
      </c>
      <c r="C30" s="11" t="str">
        <f>IF('Preencher pelo celular'!D158="","",'Preencher pelo celular'!D158)</f>
        <v/>
      </c>
      <c r="D30" s="11" t="str">
        <f>IF('Preencher pelo celular'!F158="","",'Preencher pelo celular'!F158)</f>
        <v/>
      </c>
      <c r="E30" s="11" t="str">
        <f>IF('Preencher pelo celular'!C159="","",'Preencher pelo celular'!C159)</f>
        <v/>
      </c>
      <c r="F30" s="11" t="str">
        <f>IF('Preencher pelo celular'!D159="","",'Preencher pelo celular'!D159)</f>
        <v/>
      </c>
      <c r="G30" s="11" t="str">
        <f>IF('Preencher pelo celular'!F159="","",'Preencher pelo celular'!F159)</f>
        <v/>
      </c>
      <c r="H30" s="11" t="str">
        <f>IF('Preencher pelo celular'!C160="","",'Preencher pelo celular'!C160)</f>
        <v/>
      </c>
      <c r="I30" s="11" t="str">
        <f>IF('Preencher pelo celular'!D160="","",'Preencher pelo celular'!D160)</f>
        <v/>
      </c>
      <c r="J30" s="11" t="str">
        <f>IF('Preencher pelo celular'!F160="","",'Preencher pelo celular'!F160)</f>
        <v/>
      </c>
      <c r="K30" s="11" t="str">
        <f>IF('Preencher pelo celular'!C161="","",'Preencher pelo celular'!C161)</f>
        <v/>
      </c>
      <c r="L30" s="11" t="str">
        <f>IF('Preencher pelo celular'!D161="","",'Preencher pelo celular'!D161)</f>
        <v/>
      </c>
      <c r="M30" s="11" t="str">
        <f>IF('Preencher pelo celular'!F161="","",'Preencher pelo celular'!F161)</f>
        <v/>
      </c>
      <c r="N30" s="11" t="str">
        <f>IF('Preencher pelo celular'!C162="","",'Preencher pelo celular'!C162)</f>
        <v/>
      </c>
      <c r="O30" s="11" t="str">
        <f>IF('Preencher pelo celular'!D162="","",'Preencher pelo celular'!D162)</f>
        <v/>
      </c>
      <c r="P30" s="11" t="str">
        <f>IF('Preencher pelo celular'!F162="","",'Preencher pelo celular'!F162)</f>
        <v/>
      </c>
      <c r="Q30" s="11" t="str">
        <f>IF('Preencher pelo celular'!C163="","",'Preencher pelo celular'!C163)</f>
        <v/>
      </c>
      <c r="R30" s="11" t="str">
        <f>IF('Preencher pelo celular'!D163="","",'Preencher pelo celular'!D163)</f>
        <v/>
      </c>
      <c r="S30" s="11" t="str">
        <f>IF('Preencher pelo celular'!F163="","",'Preencher pelo celular'!F163)</f>
        <v/>
      </c>
      <c r="T30" s="14" t="str">
        <f t="shared" si="0"/>
        <v/>
      </c>
      <c r="U30" s="14" t="str">
        <f t="shared" si="1"/>
        <v/>
      </c>
      <c r="V30" s="14" t="str">
        <f t="shared" si="2"/>
        <v/>
      </c>
    </row>
    <row r="31" spans="1:22" x14ac:dyDescent="0.25">
      <c r="A31" s="15">
        <f>'Preencher pelo celular'!A164</f>
        <v>46317</v>
      </c>
      <c r="B31" s="16" t="str">
        <f>IF('Preencher pelo celular'!C164="","",'Preencher pelo celular'!C164)</f>
        <v/>
      </c>
      <c r="C31" s="16" t="str">
        <f>IF('Preencher pelo celular'!D164="","",'Preencher pelo celular'!D164)</f>
        <v/>
      </c>
      <c r="D31" s="16" t="str">
        <f>IF('Preencher pelo celular'!F164="","",'Preencher pelo celular'!F164)</f>
        <v/>
      </c>
      <c r="E31" s="16" t="str">
        <f>IF('Preencher pelo celular'!C165="","",'Preencher pelo celular'!C165)</f>
        <v/>
      </c>
      <c r="F31" s="16" t="str">
        <f>IF('Preencher pelo celular'!D165="","",'Preencher pelo celular'!D165)</f>
        <v/>
      </c>
      <c r="G31" s="16" t="str">
        <f>IF('Preencher pelo celular'!F165="","",'Preencher pelo celular'!F165)</f>
        <v/>
      </c>
      <c r="H31" s="16" t="str">
        <f>IF('Preencher pelo celular'!C166="","",'Preencher pelo celular'!C166)</f>
        <v/>
      </c>
      <c r="I31" s="16" t="str">
        <f>IF('Preencher pelo celular'!D166="","",'Preencher pelo celular'!D166)</f>
        <v/>
      </c>
      <c r="J31" s="16" t="str">
        <f>IF('Preencher pelo celular'!F166="","",'Preencher pelo celular'!F166)</f>
        <v/>
      </c>
      <c r="K31" s="16" t="str">
        <f>IF('Preencher pelo celular'!C167="","",'Preencher pelo celular'!C167)</f>
        <v/>
      </c>
      <c r="L31" s="16" t="str">
        <f>IF('Preencher pelo celular'!D167="","",'Preencher pelo celular'!D167)</f>
        <v/>
      </c>
      <c r="M31" s="16" t="str">
        <f>IF('Preencher pelo celular'!F167="","",'Preencher pelo celular'!F167)</f>
        <v/>
      </c>
      <c r="N31" s="16" t="str">
        <f>IF('Preencher pelo celular'!C168="","",'Preencher pelo celular'!C168)</f>
        <v/>
      </c>
      <c r="O31" s="16" t="str">
        <f>IF('Preencher pelo celular'!D168="","",'Preencher pelo celular'!D168)</f>
        <v/>
      </c>
      <c r="P31" s="16" t="str">
        <f>IF('Preencher pelo celular'!F168="","",'Preencher pelo celular'!F168)</f>
        <v/>
      </c>
      <c r="Q31" s="16" t="str">
        <f>IF('Preencher pelo celular'!C169="","",'Preencher pelo celular'!C169)</f>
        <v/>
      </c>
      <c r="R31" s="16" t="str">
        <f>IF('Preencher pelo celular'!D169="","",'Preencher pelo celular'!D169)</f>
        <v/>
      </c>
      <c r="S31" s="16" t="str">
        <f>IF('Preencher pelo celular'!F169="","",'Preencher pelo celular'!F169)</f>
        <v/>
      </c>
      <c r="T31" s="14" t="str">
        <f t="shared" si="0"/>
        <v/>
      </c>
      <c r="U31" s="14" t="str">
        <f t="shared" si="1"/>
        <v/>
      </c>
      <c r="V31" s="14" t="str">
        <f t="shared" si="2"/>
        <v/>
      </c>
    </row>
    <row r="32" spans="1:22" x14ac:dyDescent="0.25">
      <c r="A32" s="13">
        <f>'Preencher pelo celular'!A170</f>
        <v>46318</v>
      </c>
      <c r="B32" s="11" t="str">
        <f>IF('Preencher pelo celular'!C170="","",'Preencher pelo celular'!C170)</f>
        <v/>
      </c>
      <c r="C32" s="11" t="str">
        <f>IF('Preencher pelo celular'!D170="","",'Preencher pelo celular'!D170)</f>
        <v/>
      </c>
      <c r="D32" s="11" t="str">
        <f>IF('Preencher pelo celular'!F170="","",'Preencher pelo celular'!F170)</f>
        <v/>
      </c>
      <c r="E32" s="11" t="str">
        <f>IF('Preencher pelo celular'!C171="","",'Preencher pelo celular'!C171)</f>
        <v/>
      </c>
      <c r="F32" s="11" t="str">
        <f>IF('Preencher pelo celular'!D171="","",'Preencher pelo celular'!D171)</f>
        <v/>
      </c>
      <c r="G32" s="11" t="str">
        <f>IF('Preencher pelo celular'!F171="","",'Preencher pelo celular'!F171)</f>
        <v/>
      </c>
      <c r="H32" s="11" t="str">
        <f>IF('Preencher pelo celular'!C172="","",'Preencher pelo celular'!C172)</f>
        <v/>
      </c>
      <c r="I32" s="11" t="str">
        <f>IF('Preencher pelo celular'!D172="","",'Preencher pelo celular'!D172)</f>
        <v/>
      </c>
      <c r="J32" s="11" t="str">
        <f>IF('Preencher pelo celular'!F172="","",'Preencher pelo celular'!F172)</f>
        <v/>
      </c>
      <c r="K32" s="11" t="str">
        <f>IF('Preencher pelo celular'!C173="","",'Preencher pelo celular'!C173)</f>
        <v/>
      </c>
      <c r="L32" s="11" t="str">
        <f>IF('Preencher pelo celular'!D173="","",'Preencher pelo celular'!D173)</f>
        <v/>
      </c>
      <c r="M32" s="11" t="str">
        <f>IF('Preencher pelo celular'!F173="","",'Preencher pelo celular'!F173)</f>
        <v/>
      </c>
      <c r="N32" s="11" t="str">
        <f>IF('Preencher pelo celular'!C174="","",'Preencher pelo celular'!C174)</f>
        <v/>
      </c>
      <c r="O32" s="11" t="str">
        <f>IF('Preencher pelo celular'!D174="","",'Preencher pelo celular'!D174)</f>
        <v/>
      </c>
      <c r="P32" s="11" t="str">
        <f>IF('Preencher pelo celular'!F174="","",'Preencher pelo celular'!F174)</f>
        <v/>
      </c>
      <c r="Q32" s="11" t="str">
        <f>IF('Preencher pelo celular'!C175="","",'Preencher pelo celular'!C175)</f>
        <v/>
      </c>
      <c r="R32" s="11" t="str">
        <f>IF('Preencher pelo celular'!D175="","",'Preencher pelo celular'!D175)</f>
        <v/>
      </c>
      <c r="S32" s="11" t="str">
        <f>IF('Preencher pelo celular'!F175="","",'Preencher pelo celular'!F175)</f>
        <v/>
      </c>
      <c r="T32" s="14" t="str">
        <f t="shared" si="0"/>
        <v/>
      </c>
      <c r="U32" s="14" t="str">
        <f t="shared" si="1"/>
        <v/>
      </c>
      <c r="V32" s="14" t="str">
        <f t="shared" si="2"/>
        <v/>
      </c>
    </row>
    <row r="33" spans="1:22" x14ac:dyDescent="0.25">
      <c r="A33" s="15">
        <f>'Preencher pelo celular'!A176</f>
        <v>46319</v>
      </c>
      <c r="B33" s="16" t="str">
        <f>IF('Preencher pelo celular'!C176="","",'Preencher pelo celular'!C176)</f>
        <v/>
      </c>
      <c r="C33" s="16" t="str">
        <f>IF('Preencher pelo celular'!D176="","",'Preencher pelo celular'!D176)</f>
        <v/>
      </c>
      <c r="D33" s="16" t="str">
        <f>IF('Preencher pelo celular'!F176="","",'Preencher pelo celular'!F176)</f>
        <v/>
      </c>
      <c r="E33" s="16" t="str">
        <f>IF('Preencher pelo celular'!C177="","",'Preencher pelo celular'!C177)</f>
        <v/>
      </c>
      <c r="F33" s="16" t="str">
        <f>IF('Preencher pelo celular'!D177="","",'Preencher pelo celular'!D177)</f>
        <v/>
      </c>
      <c r="G33" s="16" t="str">
        <f>IF('Preencher pelo celular'!F177="","",'Preencher pelo celular'!F177)</f>
        <v/>
      </c>
      <c r="H33" s="16" t="str">
        <f>IF('Preencher pelo celular'!C178="","",'Preencher pelo celular'!C178)</f>
        <v/>
      </c>
      <c r="I33" s="16" t="str">
        <f>IF('Preencher pelo celular'!D178="","",'Preencher pelo celular'!D178)</f>
        <v/>
      </c>
      <c r="J33" s="16" t="str">
        <f>IF('Preencher pelo celular'!F178="","",'Preencher pelo celular'!F178)</f>
        <v/>
      </c>
      <c r="K33" s="16" t="str">
        <f>IF('Preencher pelo celular'!C179="","",'Preencher pelo celular'!C179)</f>
        <v/>
      </c>
      <c r="L33" s="16" t="str">
        <f>IF('Preencher pelo celular'!D179="","",'Preencher pelo celular'!D179)</f>
        <v/>
      </c>
      <c r="M33" s="16" t="str">
        <f>IF('Preencher pelo celular'!F179="","",'Preencher pelo celular'!F179)</f>
        <v/>
      </c>
      <c r="N33" s="16" t="str">
        <f>IF('Preencher pelo celular'!C180="","",'Preencher pelo celular'!C180)</f>
        <v/>
      </c>
      <c r="O33" s="16" t="str">
        <f>IF('Preencher pelo celular'!D180="","",'Preencher pelo celular'!D180)</f>
        <v/>
      </c>
      <c r="P33" s="16" t="str">
        <f>IF('Preencher pelo celular'!F180="","",'Preencher pelo celular'!F180)</f>
        <v/>
      </c>
      <c r="Q33" s="16" t="str">
        <f>IF('Preencher pelo celular'!C181="","",'Preencher pelo celular'!C181)</f>
        <v/>
      </c>
      <c r="R33" s="16" t="str">
        <f>IF('Preencher pelo celular'!D181="","",'Preencher pelo celular'!D181)</f>
        <v/>
      </c>
      <c r="S33" s="16" t="str">
        <f>IF('Preencher pelo celular'!F181="","",'Preencher pelo celular'!F181)</f>
        <v/>
      </c>
      <c r="T33" s="14" t="str">
        <f t="shared" si="0"/>
        <v/>
      </c>
      <c r="U33" s="14" t="str">
        <f t="shared" si="1"/>
        <v/>
      </c>
      <c r="V33" s="14" t="str">
        <f t="shared" si="2"/>
        <v/>
      </c>
    </row>
    <row r="34" spans="1:22" x14ac:dyDescent="0.25">
      <c r="A34" s="13">
        <f>'Preencher pelo celular'!A182</f>
        <v>46320</v>
      </c>
      <c r="B34" s="11" t="str">
        <f>IF('Preencher pelo celular'!C182="","",'Preencher pelo celular'!C182)</f>
        <v/>
      </c>
      <c r="C34" s="11" t="str">
        <f>IF('Preencher pelo celular'!D182="","",'Preencher pelo celular'!D182)</f>
        <v/>
      </c>
      <c r="D34" s="11" t="str">
        <f>IF('Preencher pelo celular'!F182="","",'Preencher pelo celular'!F182)</f>
        <v/>
      </c>
      <c r="E34" s="11" t="str">
        <f>IF('Preencher pelo celular'!C183="","",'Preencher pelo celular'!C183)</f>
        <v/>
      </c>
      <c r="F34" s="11" t="str">
        <f>IF('Preencher pelo celular'!D183="","",'Preencher pelo celular'!D183)</f>
        <v/>
      </c>
      <c r="G34" s="11" t="str">
        <f>IF('Preencher pelo celular'!F183="","",'Preencher pelo celular'!F183)</f>
        <v/>
      </c>
      <c r="H34" s="11" t="str">
        <f>IF('Preencher pelo celular'!C184="","",'Preencher pelo celular'!C184)</f>
        <v/>
      </c>
      <c r="I34" s="11" t="str">
        <f>IF('Preencher pelo celular'!D184="","",'Preencher pelo celular'!D184)</f>
        <v/>
      </c>
      <c r="J34" s="11" t="str">
        <f>IF('Preencher pelo celular'!F184="","",'Preencher pelo celular'!F184)</f>
        <v/>
      </c>
      <c r="K34" s="11" t="str">
        <f>IF('Preencher pelo celular'!C185="","",'Preencher pelo celular'!C185)</f>
        <v/>
      </c>
      <c r="L34" s="11" t="str">
        <f>IF('Preencher pelo celular'!D185="","",'Preencher pelo celular'!D185)</f>
        <v/>
      </c>
      <c r="M34" s="11" t="str">
        <f>IF('Preencher pelo celular'!F185="","",'Preencher pelo celular'!F185)</f>
        <v/>
      </c>
      <c r="N34" s="11" t="str">
        <f>IF('Preencher pelo celular'!C186="","",'Preencher pelo celular'!C186)</f>
        <v/>
      </c>
      <c r="O34" s="11" t="str">
        <f>IF('Preencher pelo celular'!D186="","",'Preencher pelo celular'!D186)</f>
        <v/>
      </c>
      <c r="P34" s="11" t="str">
        <f>IF('Preencher pelo celular'!F186="","",'Preencher pelo celular'!F186)</f>
        <v/>
      </c>
      <c r="Q34" s="11" t="str">
        <f>IF('Preencher pelo celular'!C187="","",'Preencher pelo celular'!C187)</f>
        <v/>
      </c>
      <c r="R34" s="11" t="str">
        <f>IF('Preencher pelo celular'!D187="","",'Preencher pelo celular'!D187)</f>
        <v/>
      </c>
      <c r="S34" s="11" t="str">
        <f>IF('Preencher pelo celular'!F187="","",'Preencher pelo celular'!F187)</f>
        <v/>
      </c>
      <c r="T34" s="14" t="str">
        <f t="shared" si="0"/>
        <v/>
      </c>
      <c r="U34" s="14" t="str">
        <f t="shared" si="1"/>
        <v/>
      </c>
      <c r="V34" s="14" t="str">
        <f t="shared" si="2"/>
        <v/>
      </c>
    </row>
    <row r="35" spans="1:22" x14ac:dyDescent="0.25">
      <c r="A35" s="15">
        <f>'Preencher pelo celular'!A188</f>
        <v>46321</v>
      </c>
      <c r="B35" s="16" t="str">
        <f>IF('Preencher pelo celular'!C188="","",'Preencher pelo celular'!C188)</f>
        <v/>
      </c>
      <c r="C35" s="16" t="str">
        <f>IF('Preencher pelo celular'!D188="","",'Preencher pelo celular'!D188)</f>
        <v/>
      </c>
      <c r="D35" s="16" t="str">
        <f>IF('Preencher pelo celular'!F188="","",'Preencher pelo celular'!F188)</f>
        <v/>
      </c>
      <c r="E35" s="16" t="str">
        <f>IF('Preencher pelo celular'!C189="","",'Preencher pelo celular'!C189)</f>
        <v/>
      </c>
      <c r="F35" s="16" t="str">
        <f>IF('Preencher pelo celular'!D189="","",'Preencher pelo celular'!D189)</f>
        <v/>
      </c>
      <c r="G35" s="16" t="str">
        <f>IF('Preencher pelo celular'!F189="","",'Preencher pelo celular'!F189)</f>
        <v/>
      </c>
      <c r="H35" s="16" t="str">
        <f>IF('Preencher pelo celular'!C190="","",'Preencher pelo celular'!C190)</f>
        <v/>
      </c>
      <c r="I35" s="16" t="str">
        <f>IF('Preencher pelo celular'!D190="","",'Preencher pelo celular'!D190)</f>
        <v/>
      </c>
      <c r="J35" s="16" t="str">
        <f>IF('Preencher pelo celular'!F190="","",'Preencher pelo celular'!F190)</f>
        <v/>
      </c>
      <c r="K35" s="16" t="str">
        <f>IF('Preencher pelo celular'!C191="","",'Preencher pelo celular'!C191)</f>
        <v/>
      </c>
      <c r="L35" s="16" t="str">
        <f>IF('Preencher pelo celular'!D191="","",'Preencher pelo celular'!D191)</f>
        <v/>
      </c>
      <c r="M35" s="16" t="str">
        <f>IF('Preencher pelo celular'!F191="","",'Preencher pelo celular'!F191)</f>
        <v/>
      </c>
      <c r="N35" s="16" t="str">
        <f>IF('Preencher pelo celular'!C192="","",'Preencher pelo celular'!C192)</f>
        <v/>
      </c>
      <c r="O35" s="16" t="str">
        <f>IF('Preencher pelo celular'!D192="","",'Preencher pelo celular'!D192)</f>
        <v/>
      </c>
      <c r="P35" s="16" t="str">
        <f>IF('Preencher pelo celular'!F192="","",'Preencher pelo celular'!F192)</f>
        <v/>
      </c>
      <c r="Q35" s="16" t="str">
        <f>IF('Preencher pelo celular'!C193="","",'Preencher pelo celular'!C193)</f>
        <v/>
      </c>
      <c r="R35" s="16" t="str">
        <f>IF('Preencher pelo celular'!D193="","",'Preencher pelo celular'!D193)</f>
        <v/>
      </c>
      <c r="S35" s="16" t="str">
        <f>IF('Preencher pelo celular'!F193="","",'Preencher pelo celular'!F193)</f>
        <v/>
      </c>
      <c r="T35" s="14" t="str">
        <f t="shared" si="0"/>
        <v/>
      </c>
      <c r="U35" s="14" t="str">
        <f t="shared" si="1"/>
        <v/>
      </c>
      <c r="V35" s="14" t="str">
        <f t="shared" si="2"/>
        <v/>
      </c>
    </row>
    <row r="36" spans="1:22" x14ac:dyDescent="0.25">
      <c r="A36" s="13">
        <f>'Preencher pelo celular'!A194</f>
        <v>46322</v>
      </c>
      <c r="B36" s="11" t="str">
        <f>IF('Preencher pelo celular'!C194="","",'Preencher pelo celular'!C194)</f>
        <v/>
      </c>
      <c r="C36" s="11" t="str">
        <f>IF('Preencher pelo celular'!D194="","",'Preencher pelo celular'!D194)</f>
        <v/>
      </c>
      <c r="D36" s="11" t="str">
        <f>IF('Preencher pelo celular'!F194="","",'Preencher pelo celular'!F194)</f>
        <v/>
      </c>
      <c r="E36" s="11" t="str">
        <f>IF('Preencher pelo celular'!C195="","",'Preencher pelo celular'!C195)</f>
        <v/>
      </c>
      <c r="F36" s="11" t="str">
        <f>IF('Preencher pelo celular'!D195="","",'Preencher pelo celular'!D195)</f>
        <v/>
      </c>
      <c r="G36" s="11" t="str">
        <f>IF('Preencher pelo celular'!F195="","",'Preencher pelo celular'!F195)</f>
        <v/>
      </c>
      <c r="H36" s="11" t="str">
        <f>IF('Preencher pelo celular'!C196="","",'Preencher pelo celular'!C196)</f>
        <v/>
      </c>
      <c r="I36" s="11" t="str">
        <f>IF('Preencher pelo celular'!D196="","",'Preencher pelo celular'!D196)</f>
        <v/>
      </c>
      <c r="J36" s="11" t="str">
        <f>IF('Preencher pelo celular'!F196="","",'Preencher pelo celular'!F196)</f>
        <v/>
      </c>
      <c r="K36" s="11" t="str">
        <f>IF('Preencher pelo celular'!C197="","",'Preencher pelo celular'!C197)</f>
        <v/>
      </c>
      <c r="L36" s="11" t="str">
        <f>IF('Preencher pelo celular'!D197="","",'Preencher pelo celular'!D197)</f>
        <v/>
      </c>
      <c r="M36" s="11" t="str">
        <f>IF('Preencher pelo celular'!F197="","",'Preencher pelo celular'!F197)</f>
        <v/>
      </c>
      <c r="N36" s="11" t="str">
        <f>IF('Preencher pelo celular'!C198="","",'Preencher pelo celular'!C198)</f>
        <v/>
      </c>
      <c r="O36" s="11" t="str">
        <f>IF('Preencher pelo celular'!D198="","",'Preencher pelo celular'!D198)</f>
        <v/>
      </c>
      <c r="P36" s="11" t="str">
        <f>IF('Preencher pelo celular'!F198="","",'Preencher pelo celular'!F198)</f>
        <v/>
      </c>
      <c r="Q36" s="11" t="str">
        <f>IF('Preencher pelo celular'!C199="","",'Preencher pelo celular'!C199)</f>
        <v/>
      </c>
      <c r="R36" s="11" t="str">
        <f>IF('Preencher pelo celular'!D199="","",'Preencher pelo celular'!D199)</f>
        <v/>
      </c>
      <c r="S36" s="11" t="str">
        <f>IF('Preencher pelo celular'!F199="","",'Preencher pelo celular'!F199)</f>
        <v/>
      </c>
      <c r="T36" s="14" t="str">
        <f t="shared" ref="T36:T67" si="3">IF(COUNT(B36,E36,H36,K36,N36,Q36)=0,"",AVERAGE(B36,E36,H36,K36,N36,Q36))</f>
        <v/>
      </c>
      <c r="U36" s="14" t="str">
        <f t="shared" ref="U36:U67" si="4">IF(COUNT(D36,G36,J36,M36,P36,S36)=0,"",AVERAGE(D36,G36,J36,M36,P36,S36))</f>
        <v/>
      </c>
      <c r="V36" s="14" t="str">
        <f t="shared" ref="V36:V67" si="5">IF(COUNT(C36,F36,I36,L36,O36,R36)=0,"",SUM(C36,F36,I36,L36,O36,R36))</f>
        <v/>
      </c>
    </row>
    <row r="37" spans="1:22" x14ac:dyDescent="0.25">
      <c r="A37" s="15">
        <f>'Preencher pelo celular'!A200</f>
        <v>46323</v>
      </c>
      <c r="B37" s="16" t="str">
        <f>IF('Preencher pelo celular'!C200="","",'Preencher pelo celular'!C200)</f>
        <v/>
      </c>
      <c r="C37" s="16" t="str">
        <f>IF('Preencher pelo celular'!D200="","",'Preencher pelo celular'!D200)</f>
        <v/>
      </c>
      <c r="D37" s="16" t="str">
        <f>IF('Preencher pelo celular'!F200="","",'Preencher pelo celular'!F200)</f>
        <v/>
      </c>
      <c r="E37" s="16" t="str">
        <f>IF('Preencher pelo celular'!C201="","",'Preencher pelo celular'!C201)</f>
        <v/>
      </c>
      <c r="F37" s="16" t="str">
        <f>IF('Preencher pelo celular'!D201="","",'Preencher pelo celular'!D201)</f>
        <v/>
      </c>
      <c r="G37" s="16" t="str">
        <f>IF('Preencher pelo celular'!F201="","",'Preencher pelo celular'!F201)</f>
        <v/>
      </c>
      <c r="H37" s="16" t="str">
        <f>IF('Preencher pelo celular'!C202="","",'Preencher pelo celular'!C202)</f>
        <v/>
      </c>
      <c r="I37" s="16" t="str">
        <f>IF('Preencher pelo celular'!D202="","",'Preencher pelo celular'!D202)</f>
        <v/>
      </c>
      <c r="J37" s="16" t="str">
        <f>IF('Preencher pelo celular'!F202="","",'Preencher pelo celular'!F202)</f>
        <v/>
      </c>
      <c r="K37" s="16" t="str">
        <f>IF('Preencher pelo celular'!C203="","",'Preencher pelo celular'!C203)</f>
        <v/>
      </c>
      <c r="L37" s="16" t="str">
        <f>IF('Preencher pelo celular'!D203="","",'Preencher pelo celular'!D203)</f>
        <v/>
      </c>
      <c r="M37" s="16" t="str">
        <f>IF('Preencher pelo celular'!F203="","",'Preencher pelo celular'!F203)</f>
        <v/>
      </c>
      <c r="N37" s="16" t="str">
        <f>IF('Preencher pelo celular'!C204="","",'Preencher pelo celular'!C204)</f>
        <v/>
      </c>
      <c r="O37" s="16" t="str">
        <f>IF('Preencher pelo celular'!D204="","",'Preencher pelo celular'!D204)</f>
        <v/>
      </c>
      <c r="P37" s="16" t="str">
        <f>IF('Preencher pelo celular'!F204="","",'Preencher pelo celular'!F204)</f>
        <v/>
      </c>
      <c r="Q37" s="16" t="str">
        <f>IF('Preencher pelo celular'!C205="","",'Preencher pelo celular'!C205)</f>
        <v/>
      </c>
      <c r="R37" s="16" t="str">
        <f>IF('Preencher pelo celular'!D205="","",'Preencher pelo celular'!D205)</f>
        <v/>
      </c>
      <c r="S37" s="16" t="str">
        <f>IF('Preencher pelo celular'!F205="","",'Preencher pelo celular'!F205)</f>
        <v/>
      </c>
      <c r="T37" s="14" t="str">
        <f t="shared" si="3"/>
        <v/>
      </c>
      <c r="U37" s="14" t="str">
        <f t="shared" si="4"/>
        <v/>
      </c>
      <c r="V37" s="14" t="str">
        <f t="shared" si="5"/>
        <v/>
      </c>
    </row>
    <row r="38" spans="1:22" x14ac:dyDescent="0.25">
      <c r="A38" s="13">
        <f>'Preencher pelo celular'!A206</f>
        <v>46324</v>
      </c>
      <c r="B38" s="11" t="str">
        <f>IF('Preencher pelo celular'!C206="","",'Preencher pelo celular'!C206)</f>
        <v/>
      </c>
      <c r="C38" s="11" t="str">
        <f>IF('Preencher pelo celular'!D206="","",'Preencher pelo celular'!D206)</f>
        <v/>
      </c>
      <c r="D38" s="11" t="str">
        <f>IF('Preencher pelo celular'!F206="","",'Preencher pelo celular'!F206)</f>
        <v/>
      </c>
      <c r="E38" s="11" t="str">
        <f>IF('Preencher pelo celular'!C207="","",'Preencher pelo celular'!C207)</f>
        <v/>
      </c>
      <c r="F38" s="11" t="str">
        <f>IF('Preencher pelo celular'!D207="","",'Preencher pelo celular'!D207)</f>
        <v/>
      </c>
      <c r="G38" s="11" t="str">
        <f>IF('Preencher pelo celular'!F207="","",'Preencher pelo celular'!F207)</f>
        <v/>
      </c>
      <c r="H38" s="11" t="str">
        <f>IF('Preencher pelo celular'!C208="","",'Preencher pelo celular'!C208)</f>
        <v/>
      </c>
      <c r="I38" s="11" t="str">
        <f>IF('Preencher pelo celular'!D208="","",'Preencher pelo celular'!D208)</f>
        <v/>
      </c>
      <c r="J38" s="11" t="str">
        <f>IF('Preencher pelo celular'!F208="","",'Preencher pelo celular'!F208)</f>
        <v/>
      </c>
      <c r="K38" s="11" t="str">
        <f>IF('Preencher pelo celular'!C209="","",'Preencher pelo celular'!C209)</f>
        <v/>
      </c>
      <c r="L38" s="11" t="str">
        <f>IF('Preencher pelo celular'!D209="","",'Preencher pelo celular'!D209)</f>
        <v/>
      </c>
      <c r="M38" s="11" t="str">
        <f>IF('Preencher pelo celular'!F209="","",'Preencher pelo celular'!F209)</f>
        <v/>
      </c>
      <c r="N38" s="11" t="str">
        <f>IF('Preencher pelo celular'!C210="","",'Preencher pelo celular'!C210)</f>
        <v/>
      </c>
      <c r="O38" s="11" t="str">
        <f>IF('Preencher pelo celular'!D210="","",'Preencher pelo celular'!D210)</f>
        <v/>
      </c>
      <c r="P38" s="11" t="str">
        <f>IF('Preencher pelo celular'!F210="","",'Preencher pelo celular'!F210)</f>
        <v/>
      </c>
      <c r="Q38" s="11" t="str">
        <f>IF('Preencher pelo celular'!C211="","",'Preencher pelo celular'!C211)</f>
        <v/>
      </c>
      <c r="R38" s="11" t="str">
        <f>IF('Preencher pelo celular'!D211="","",'Preencher pelo celular'!D211)</f>
        <v/>
      </c>
      <c r="S38" s="11" t="str">
        <f>IF('Preencher pelo celular'!F211="","",'Preencher pelo celular'!F211)</f>
        <v/>
      </c>
      <c r="T38" s="14" t="str">
        <f t="shared" si="3"/>
        <v/>
      </c>
      <c r="U38" s="14" t="str">
        <f t="shared" si="4"/>
        <v/>
      </c>
      <c r="V38" s="14" t="str">
        <f t="shared" si="5"/>
        <v/>
      </c>
    </row>
    <row r="39" spans="1:22" x14ac:dyDescent="0.25">
      <c r="A39" s="15">
        <f>'Preencher pelo celular'!A212</f>
        <v>46325</v>
      </c>
      <c r="B39" s="16" t="str">
        <f>IF('Preencher pelo celular'!C212="","",'Preencher pelo celular'!C212)</f>
        <v/>
      </c>
      <c r="C39" s="16" t="str">
        <f>IF('Preencher pelo celular'!D212="","",'Preencher pelo celular'!D212)</f>
        <v/>
      </c>
      <c r="D39" s="16" t="str">
        <f>IF('Preencher pelo celular'!F212="","",'Preencher pelo celular'!F212)</f>
        <v/>
      </c>
      <c r="E39" s="16" t="str">
        <f>IF('Preencher pelo celular'!C213="","",'Preencher pelo celular'!C213)</f>
        <v/>
      </c>
      <c r="F39" s="16" t="str">
        <f>IF('Preencher pelo celular'!D213="","",'Preencher pelo celular'!D213)</f>
        <v/>
      </c>
      <c r="G39" s="16" t="str">
        <f>IF('Preencher pelo celular'!F213="","",'Preencher pelo celular'!F213)</f>
        <v/>
      </c>
      <c r="H39" s="16" t="str">
        <f>IF('Preencher pelo celular'!C214="","",'Preencher pelo celular'!C214)</f>
        <v/>
      </c>
      <c r="I39" s="16" t="str">
        <f>IF('Preencher pelo celular'!D214="","",'Preencher pelo celular'!D214)</f>
        <v/>
      </c>
      <c r="J39" s="16" t="str">
        <f>IF('Preencher pelo celular'!F214="","",'Preencher pelo celular'!F214)</f>
        <v/>
      </c>
      <c r="K39" s="16" t="str">
        <f>IF('Preencher pelo celular'!C215="","",'Preencher pelo celular'!C215)</f>
        <v/>
      </c>
      <c r="L39" s="16" t="str">
        <f>IF('Preencher pelo celular'!D215="","",'Preencher pelo celular'!D215)</f>
        <v/>
      </c>
      <c r="M39" s="16" t="str">
        <f>IF('Preencher pelo celular'!F215="","",'Preencher pelo celular'!F215)</f>
        <v/>
      </c>
      <c r="N39" s="16" t="str">
        <f>IF('Preencher pelo celular'!C216="","",'Preencher pelo celular'!C216)</f>
        <v/>
      </c>
      <c r="O39" s="16" t="str">
        <f>IF('Preencher pelo celular'!D216="","",'Preencher pelo celular'!D216)</f>
        <v/>
      </c>
      <c r="P39" s="16" t="str">
        <f>IF('Preencher pelo celular'!F216="","",'Preencher pelo celular'!F216)</f>
        <v/>
      </c>
      <c r="Q39" s="16" t="str">
        <f>IF('Preencher pelo celular'!C217="","",'Preencher pelo celular'!C217)</f>
        <v/>
      </c>
      <c r="R39" s="16" t="str">
        <f>IF('Preencher pelo celular'!D217="","",'Preencher pelo celular'!D217)</f>
        <v/>
      </c>
      <c r="S39" s="16" t="str">
        <f>IF('Preencher pelo celular'!F217="","",'Preencher pelo celular'!F217)</f>
        <v/>
      </c>
      <c r="T39" s="14" t="str">
        <f t="shared" si="3"/>
        <v/>
      </c>
      <c r="U39" s="14" t="str">
        <f t="shared" si="4"/>
        <v/>
      </c>
      <c r="V39" s="14" t="str">
        <f t="shared" si="5"/>
        <v/>
      </c>
    </row>
    <row r="40" spans="1:22" x14ac:dyDescent="0.25">
      <c r="A40" s="13">
        <f>'Preencher pelo celular'!A218</f>
        <v>46326</v>
      </c>
      <c r="B40" s="11" t="str">
        <f>IF('Preencher pelo celular'!C218="","",'Preencher pelo celular'!C218)</f>
        <v/>
      </c>
      <c r="C40" s="11" t="str">
        <f>IF('Preencher pelo celular'!D218="","",'Preencher pelo celular'!D218)</f>
        <v/>
      </c>
      <c r="D40" s="11" t="str">
        <f>IF('Preencher pelo celular'!F218="","",'Preencher pelo celular'!F218)</f>
        <v/>
      </c>
      <c r="E40" s="11" t="str">
        <f>IF('Preencher pelo celular'!C219="","",'Preencher pelo celular'!C219)</f>
        <v/>
      </c>
      <c r="F40" s="11" t="str">
        <f>IF('Preencher pelo celular'!D219="","",'Preencher pelo celular'!D219)</f>
        <v/>
      </c>
      <c r="G40" s="11" t="str">
        <f>IF('Preencher pelo celular'!F219="","",'Preencher pelo celular'!F219)</f>
        <v/>
      </c>
      <c r="H40" s="11" t="str">
        <f>IF('Preencher pelo celular'!C220="","",'Preencher pelo celular'!C220)</f>
        <v/>
      </c>
      <c r="I40" s="11" t="str">
        <f>IF('Preencher pelo celular'!D220="","",'Preencher pelo celular'!D220)</f>
        <v/>
      </c>
      <c r="J40" s="11" t="str">
        <f>IF('Preencher pelo celular'!F220="","",'Preencher pelo celular'!F220)</f>
        <v/>
      </c>
      <c r="K40" s="11" t="str">
        <f>IF('Preencher pelo celular'!C221="","",'Preencher pelo celular'!C221)</f>
        <v/>
      </c>
      <c r="L40" s="11" t="str">
        <f>IF('Preencher pelo celular'!D221="","",'Preencher pelo celular'!D221)</f>
        <v/>
      </c>
      <c r="M40" s="11" t="str">
        <f>IF('Preencher pelo celular'!F221="","",'Preencher pelo celular'!F221)</f>
        <v/>
      </c>
      <c r="N40" s="11" t="str">
        <f>IF('Preencher pelo celular'!C222="","",'Preencher pelo celular'!C222)</f>
        <v/>
      </c>
      <c r="O40" s="11" t="str">
        <f>IF('Preencher pelo celular'!D222="","",'Preencher pelo celular'!D222)</f>
        <v/>
      </c>
      <c r="P40" s="11" t="str">
        <f>IF('Preencher pelo celular'!F222="","",'Preencher pelo celular'!F222)</f>
        <v/>
      </c>
      <c r="Q40" s="11" t="str">
        <f>IF('Preencher pelo celular'!C223="","",'Preencher pelo celular'!C223)</f>
        <v/>
      </c>
      <c r="R40" s="11" t="str">
        <f>IF('Preencher pelo celular'!D223="","",'Preencher pelo celular'!D223)</f>
        <v/>
      </c>
      <c r="S40" s="11" t="str">
        <f>IF('Preencher pelo celular'!F223="","",'Preencher pelo celular'!F223)</f>
        <v/>
      </c>
      <c r="T40" s="14" t="str">
        <f t="shared" si="3"/>
        <v/>
      </c>
      <c r="U40" s="14" t="str">
        <f t="shared" si="4"/>
        <v/>
      </c>
      <c r="V40" s="14" t="str">
        <f t="shared" si="5"/>
        <v/>
      </c>
    </row>
    <row r="41" spans="1:22" x14ac:dyDescent="0.25">
      <c r="A41" s="15">
        <f>'Preencher pelo celular'!A224</f>
        <v>46327</v>
      </c>
      <c r="B41" s="16" t="str">
        <f>IF('Preencher pelo celular'!C224="","",'Preencher pelo celular'!C224)</f>
        <v/>
      </c>
      <c r="C41" s="16" t="str">
        <f>IF('Preencher pelo celular'!D224="","",'Preencher pelo celular'!D224)</f>
        <v/>
      </c>
      <c r="D41" s="16" t="str">
        <f>IF('Preencher pelo celular'!F224="","",'Preencher pelo celular'!F224)</f>
        <v/>
      </c>
      <c r="E41" s="16" t="str">
        <f>IF('Preencher pelo celular'!C225="","",'Preencher pelo celular'!C225)</f>
        <v/>
      </c>
      <c r="F41" s="16" t="str">
        <f>IF('Preencher pelo celular'!D225="","",'Preencher pelo celular'!D225)</f>
        <v/>
      </c>
      <c r="G41" s="16" t="str">
        <f>IF('Preencher pelo celular'!F225="","",'Preencher pelo celular'!F225)</f>
        <v/>
      </c>
      <c r="H41" s="16" t="str">
        <f>IF('Preencher pelo celular'!C226="","",'Preencher pelo celular'!C226)</f>
        <v/>
      </c>
      <c r="I41" s="16" t="str">
        <f>IF('Preencher pelo celular'!D226="","",'Preencher pelo celular'!D226)</f>
        <v/>
      </c>
      <c r="J41" s="16" t="str">
        <f>IF('Preencher pelo celular'!F226="","",'Preencher pelo celular'!F226)</f>
        <v/>
      </c>
      <c r="K41" s="16" t="str">
        <f>IF('Preencher pelo celular'!C227="","",'Preencher pelo celular'!C227)</f>
        <v/>
      </c>
      <c r="L41" s="16" t="str">
        <f>IF('Preencher pelo celular'!D227="","",'Preencher pelo celular'!D227)</f>
        <v/>
      </c>
      <c r="M41" s="16" t="str">
        <f>IF('Preencher pelo celular'!F227="","",'Preencher pelo celular'!F227)</f>
        <v/>
      </c>
      <c r="N41" s="16" t="str">
        <f>IF('Preencher pelo celular'!C228="","",'Preencher pelo celular'!C228)</f>
        <v/>
      </c>
      <c r="O41" s="16" t="str">
        <f>IF('Preencher pelo celular'!D228="","",'Preencher pelo celular'!D228)</f>
        <v/>
      </c>
      <c r="P41" s="16" t="str">
        <f>IF('Preencher pelo celular'!F228="","",'Preencher pelo celular'!F228)</f>
        <v/>
      </c>
      <c r="Q41" s="16" t="str">
        <f>IF('Preencher pelo celular'!C229="","",'Preencher pelo celular'!C229)</f>
        <v/>
      </c>
      <c r="R41" s="16" t="str">
        <f>IF('Preencher pelo celular'!D229="","",'Preencher pelo celular'!D229)</f>
        <v/>
      </c>
      <c r="S41" s="16" t="str">
        <f>IF('Preencher pelo celular'!F229="","",'Preencher pelo celular'!F229)</f>
        <v/>
      </c>
      <c r="T41" s="14" t="str">
        <f t="shared" si="3"/>
        <v/>
      </c>
      <c r="U41" s="14" t="str">
        <f t="shared" si="4"/>
        <v/>
      </c>
      <c r="V41" s="14" t="str">
        <f t="shared" si="5"/>
        <v/>
      </c>
    </row>
    <row r="42" spans="1:22" x14ac:dyDescent="0.25">
      <c r="A42" s="13">
        <f>'Preencher pelo celular'!A230</f>
        <v>46328</v>
      </c>
      <c r="B42" s="11" t="str">
        <f>IF('Preencher pelo celular'!C230="","",'Preencher pelo celular'!C230)</f>
        <v/>
      </c>
      <c r="C42" s="11" t="str">
        <f>IF('Preencher pelo celular'!D230="","",'Preencher pelo celular'!D230)</f>
        <v/>
      </c>
      <c r="D42" s="11" t="str">
        <f>IF('Preencher pelo celular'!F230="","",'Preencher pelo celular'!F230)</f>
        <v/>
      </c>
      <c r="E42" s="11" t="str">
        <f>IF('Preencher pelo celular'!C231="","",'Preencher pelo celular'!C231)</f>
        <v/>
      </c>
      <c r="F42" s="11" t="str">
        <f>IF('Preencher pelo celular'!D231="","",'Preencher pelo celular'!D231)</f>
        <v/>
      </c>
      <c r="G42" s="11" t="str">
        <f>IF('Preencher pelo celular'!F231="","",'Preencher pelo celular'!F231)</f>
        <v/>
      </c>
      <c r="H42" s="11" t="str">
        <f>IF('Preencher pelo celular'!C232="","",'Preencher pelo celular'!C232)</f>
        <v/>
      </c>
      <c r="I42" s="11" t="str">
        <f>IF('Preencher pelo celular'!D232="","",'Preencher pelo celular'!D232)</f>
        <v/>
      </c>
      <c r="J42" s="11" t="str">
        <f>IF('Preencher pelo celular'!F232="","",'Preencher pelo celular'!F232)</f>
        <v/>
      </c>
      <c r="K42" s="11" t="str">
        <f>IF('Preencher pelo celular'!C233="","",'Preencher pelo celular'!C233)</f>
        <v/>
      </c>
      <c r="L42" s="11" t="str">
        <f>IF('Preencher pelo celular'!D233="","",'Preencher pelo celular'!D233)</f>
        <v/>
      </c>
      <c r="M42" s="11" t="str">
        <f>IF('Preencher pelo celular'!F233="","",'Preencher pelo celular'!F233)</f>
        <v/>
      </c>
      <c r="N42" s="11" t="str">
        <f>IF('Preencher pelo celular'!C234="","",'Preencher pelo celular'!C234)</f>
        <v/>
      </c>
      <c r="O42" s="11" t="str">
        <f>IF('Preencher pelo celular'!D234="","",'Preencher pelo celular'!D234)</f>
        <v/>
      </c>
      <c r="P42" s="11" t="str">
        <f>IF('Preencher pelo celular'!F234="","",'Preencher pelo celular'!F234)</f>
        <v/>
      </c>
      <c r="Q42" s="11" t="str">
        <f>IF('Preencher pelo celular'!C235="","",'Preencher pelo celular'!C235)</f>
        <v/>
      </c>
      <c r="R42" s="11" t="str">
        <f>IF('Preencher pelo celular'!D235="","",'Preencher pelo celular'!D235)</f>
        <v/>
      </c>
      <c r="S42" s="11" t="str">
        <f>IF('Preencher pelo celular'!F235="","",'Preencher pelo celular'!F235)</f>
        <v/>
      </c>
      <c r="T42" s="14" t="str">
        <f t="shared" si="3"/>
        <v/>
      </c>
      <c r="U42" s="14" t="str">
        <f t="shared" si="4"/>
        <v/>
      </c>
      <c r="V42" s="14" t="str">
        <f t="shared" si="5"/>
        <v/>
      </c>
    </row>
    <row r="43" spans="1:22" x14ac:dyDescent="0.25">
      <c r="A43" s="15">
        <f>'Preencher pelo celular'!A236</f>
        <v>46329</v>
      </c>
      <c r="B43" s="16" t="str">
        <f>IF('Preencher pelo celular'!C236="","",'Preencher pelo celular'!C236)</f>
        <v/>
      </c>
      <c r="C43" s="16" t="str">
        <f>IF('Preencher pelo celular'!D236="","",'Preencher pelo celular'!D236)</f>
        <v/>
      </c>
      <c r="D43" s="16" t="str">
        <f>IF('Preencher pelo celular'!F236="","",'Preencher pelo celular'!F236)</f>
        <v/>
      </c>
      <c r="E43" s="16" t="str">
        <f>IF('Preencher pelo celular'!C237="","",'Preencher pelo celular'!C237)</f>
        <v/>
      </c>
      <c r="F43" s="16" t="str">
        <f>IF('Preencher pelo celular'!D237="","",'Preencher pelo celular'!D237)</f>
        <v/>
      </c>
      <c r="G43" s="16" t="str">
        <f>IF('Preencher pelo celular'!F237="","",'Preencher pelo celular'!F237)</f>
        <v/>
      </c>
      <c r="H43" s="16" t="str">
        <f>IF('Preencher pelo celular'!C238="","",'Preencher pelo celular'!C238)</f>
        <v/>
      </c>
      <c r="I43" s="16" t="str">
        <f>IF('Preencher pelo celular'!D238="","",'Preencher pelo celular'!D238)</f>
        <v/>
      </c>
      <c r="J43" s="16" t="str">
        <f>IF('Preencher pelo celular'!F238="","",'Preencher pelo celular'!F238)</f>
        <v/>
      </c>
      <c r="K43" s="16" t="str">
        <f>IF('Preencher pelo celular'!C239="","",'Preencher pelo celular'!C239)</f>
        <v/>
      </c>
      <c r="L43" s="16" t="str">
        <f>IF('Preencher pelo celular'!D239="","",'Preencher pelo celular'!D239)</f>
        <v/>
      </c>
      <c r="M43" s="16" t="str">
        <f>IF('Preencher pelo celular'!F239="","",'Preencher pelo celular'!F239)</f>
        <v/>
      </c>
      <c r="N43" s="16" t="str">
        <f>IF('Preencher pelo celular'!C240="","",'Preencher pelo celular'!C240)</f>
        <v/>
      </c>
      <c r="O43" s="16" t="str">
        <f>IF('Preencher pelo celular'!D240="","",'Preencher pelo celular'!D240)</f>
        <v/>
      </c>
      <c r="P43" s="16" t="str">
        <f>IF('Preencher pelo celular'!F240="","",'Preencher pelo celular'!F240)</f>
        <v/>
      </c>
      <c r="Q43" s="16" t="str">
        <f>IF('Preencher pelo celular'!C241="","",'Preencher pelo celular'!C241)</f>
        <v/>
      </c>
      <c r="R43" s="16" t="str">
        <f>IF('Preencher pelo celular'!D241="","",'Preencher pelo celular'!D241)</f>
        <v/>
      </c>
      <c r="S43" s="16" t="str">
        <f>IF('Preencher pelo celular'!F241="","",'Preencher pelo celular'!F241)</f>
        <v/>
      </c>
      <c r="T43" s="14" t="str">
        <f t="shared" si="3"/>
        <v/>
      </c>
      <c r="U43" s="14" t="str">
        <f t="shared" si="4"/>
        <v/>
      </c>
      <c r="V43" s="14" t="str">
        <f t="shared" si="5"/>
        <v/>
      </c>
    </row>
    <row r="44" spans="1:22" x14ac:dyDescent="0.25">
      <c r="A44" s="13">
        <f>'Preencher pelo celular'!A242</f>
        <v>46330</v>
      </c>
      <c r="B44" s="11" t="str">
        <f>IF('Preencher pelo celular'!C242="","",'Preencher pelo celular'!C242)</f>
        <v/>
      </c>
      <c r="C44" s="11" t="str">
        <f>IF('Preencher pelo celular'!D242="","",'Preencher pelo celular'!D242)</f>
        <v/>
      </c>
      <c r="D44" s="11" t="str">
        <f>IF('Preencher pelo celular'!F242="","",'Preencher pelo celular'!F242)</f>
        <v/>
      </c>
      <c r="E44" s="11" t="str">
        <f>IF('Preencher pelo celular'!C243="","",'Preencher pelo celular'!C243)</f>
        <v/>
      </c>
      <c r="F44" s="11" t="str">
        <f>IF('Preencher pelo celular'!D243="","",'Preencher pelo celular'!D243)</f>
        <v/>
      </c>
      <c r="G44" s="11" t="str">
        <f>IF('Preencher pelo celular'!F243="","",'Preencher pelo celular'!F243)</f>
        <v/>
      </c>
      <c r="H44" s="11" t="str">
        <f>IF('Preencher pelo celular'!C244="","",'Preencher pelo celular'!C244)</f>
        <v/>
      </c>
      <c r="I44" s="11" t="str">
        <f>IF('Preencher pelo celular'!D244="","",'Preencher pelo celular'!D244)</f>
        <v/>
      </c>
      <c r="J44" s="11" t="str">
        <f>IF('Preencher pelo celular'!F244="","",'Preencher pelo celular'!F244)</f>
        <v/>
      </c>
      <c r="K44" s="11" t="str">
        <f>IF('Preencher pelo celular'!C245="","",'Preencher pelo celular'!C245)</f>
        <v/>
      </c>
      <c r="L44" s="11" t="str">
        <f>IF('Preencher pelo celular'!D245="","",'Preencher pelo celular'!D245)</f>
        <v/>
      </c>
      <c r="M44" s="11" t="str">
        <f>IF('Preencher pelo celular'!F245="","",'Preencher pelo celular'!F245)</f>
        <v/>
      </c>
      <c r="N44" s="11" t="str">
        <f>IF('Preencher pelo celular'!C246="","",'Preencher pelo celular'!C246)</f>
        <v/>
      </c>
      <c r="O44" s="11" t="str">
        <f>IF('Preencher pelo celular'!D246="","",'Preencher pelo celular'!D246)</f>
        <v/>
      </c>
      <c r="P44" s="11" t="str">
        <f>IF('Preencher pelo celular'!F246="","",'Preencher pelo celular'!F246)</f>
        <v/>
      </c>
      <c r="Q44" s="11" t="str">
        <f>IF('Preencher pelo celular'!C247="","",'Preencher pelo celular'!C247)</f>
        <v/>
      </c>
      <c r="R44" s="11" t="str">
        <f>IF('Preencher pelo celular'!D247="","",'Preencher pelo celular'!D247)</f>
        <v/>
      </c>
      <c r="S44" s="11" t="str">
        <f>IF('Preencher pelo celular'!F247="","",'Preencher pelo celular'!F247)</f>
        <v/>
      </c>
      <c r="T44" s="14" t="str">
        <f t="shared" si="3"/>
        <v/>
      </c>
      <c r="U44" s="14" t="str">
        <f t="shared" si="4"/>
        <v/>
      </c>
      <c r="V44" s="14" t="str">
        <f t="shared" si="5"/>
        <v/>
      </c>
    </row>
    <row r="45" spans="1:22" x14ac:dyDescent="0.25">
      <c r="A45" s="15">
        <f>'Preencher pelo celular'!A248</f>
        <v>46331</v>
      </c>
      <c r="B45" s="16" t="str">
        <f>IF('Preencher pelo celular'!C248="","",'Preencher pelo celular'!C248)</f>
        <v/>
      </c>
      <c r="C45" s="16" t="str">
        <f>IF('Preencher pelo celular'!D248="","",'Preencher pelo celular'!D248)</f>
        <v/>
      </c>
      <c r="D45" s="16" t="str">
        <f>IF('Preencher pelo celular'!F248="","",'Preencher pelo celular'!F248)</f>
        <v/>
      </c>
      <c r="E45" s="16" t="str">
        <f>IF('Preencher pelo celular'!C249="","",'Preencher pelo celular'!C249)</f>
        <v/>
      </c>
      <c r="F45" s="16" t="str">
        <f>IF('Preencher pelo celular'!D249="","",'Preencher pelo celular'!D249)</f>
        <v/>
      </c>
      <c r="G45" s="16" t="str">
        <f>IF('Preencher pelo celular'!F249="","",'Preencher pelo celular'!F249)</f>
        <v/>
      </c>
      <c r="H45" s="16" t="str">
        <f>IF('Preencher pelo celular'!C250="","",'Preencher pelo celular'!C250)</f>
        <v/>
      </c>
      <c r="I45" s="16" t="str">
        <f>IF('Preencher pelo celular'!D250="","",'Preencher pelo celular'!D250)</f>
        <v/>
      </c>
      <c r="J45" s="16" t="str">
        <f>IF('Preencher pelo celular'!F250="","",'Preencher pelo celular'!F250)</f>
        <v/>
      </c>
      <c r="K45" s="16" t="str">
        <f>IF('Preencher pelo celular'!C251="","",'Preencher pelo celular'!C251)</f>
        <v/>
      </c>
      <c r="L45" s="16" t="str">
        <f>IF('Preencher pelo celular'!D251="","",'Preencher pelo celular'!D251)</f>
        <v/>
      </c>
      <c r="M45" s="16" t="str">
        <f>IF('Preencher pelo celular'!F251="","",'Preencher pelo celular'!F251)</f>
        <v/>
      </c>
      <c r="N45" s="16" t="str">
        <f>IF('Preencher pelo celular'!C252="","",'Preencher pelo celular'!C252)</f>
        <v/>
      </c>
      <c r="O45" s="16" t="str">
        <f>IF('Preencher pelo celular'!D252="","",'Preencher pelo celular'!D252)</f>
        <v/>
      </c>
      <c r="P45" s="16" t="str">
        <f>IF('Preencher pelo celular'!F252="","",'Preencher pelo celular'!F252)</f>
        <v/>
      </c>
      <c r="Q45" s="16" t="str">
        <f>IF('Preencher pelo celular'!C253="","",'Preencher pelo celular'!C253)</f>
        <v/>
      </c>
      <c r="R45" s="16" t="str">
        <f>IF('Preencher pelo celular'!D253="","",'Preencher pelo celular'!D253)</f>
        <v/>
      </c>
      <c r="S45" s="16" t="str">
        <f>IF('Preencher pelo celular'!F253="","",'Preencher pelo celular'!F253)</f>
        <v/>
      </c>
      <c r="T45" s="14" t="str">
        <f t="shared" si="3"/>
        <v/>
      </c>
      <c r="U45" s="14" t="str">
        <f t="shared" si="4"/>
        <v/>
      </c>
      <c r="V45" s="14" t="str">
        <f t="shared" si="5"/>
        <v/>
      </c>
    </row>
    <row r="46" spans="1:22" x14ac:dyDescent="0.25">
      <c r="A46" s="13">
        <f>'Preencher pelo celular'!A254</f>
        <v>46332</v>
      </c>
      <c r="B46" s="11" t="str">
        <f>IF('Preencher pelo celular'!C254="","",'Preencher pelo celular'!C254)</f>
        <v/>
      </c>
      <c r="C46" s="11" t="str">
        <f>IF('Preencher pelo celular'!D254="","",'Preencher pelo celular'!D254)</f>
        <v/>
      </c>
      <c r="D46" s="11" t="str">
        <f>IF('Preencher pelo celular'!F254="","",'Preencher pelo celular'!F254)</f>
        <v/>
      </c>
      <c r="E46" s="11" t="str">
        <f>IF('Preencher pelo celular'!C255="","",'Preencher pelo celular'!C255)</f>
        <v/>
      </c>
      <c r="F46" s="11" t="str">
        <f>IF('Preencher pelo celular'!D255="","",'Preencher pelo celular'!D255)</f>
        <v/>
      </c>
      <c r="G46" s="11" t="str">
        <f>IF('Preencher pelo celular'!F255="","",'Preencher pelo celular'!F255)</f>
        <v/>
      </c>
      <c r="H46" s="11" t="str">
        <f>IF('Preencher pelo celular'!C256="","",'Preencher pelo celular'!C256)</f>
        <v/>
      </c>
      <c r="I46" s="11" t="str">
        <f>IF('Preencher pelo celular'!D256="","",'Preencher pelo celular'!D256)</f>
        <v/>
      </c>
      <c r="J46" s="11" t="str">
        <f>IF('Preencher pelo celular'!F256="","",'Preencher pelo celular'!F256)</f>
        <v/>
      </c>
      <c r="K46" s="11" t="str">
        <f>IF('Preencher pelo celular'!C257="","",'Preencher pelo celular'!C257)</f>
        <v/>
      </c>
      <c r="L46" s="11" t="str">
        <f>IF('Preencher pelo celular'!D257="","",'Preencher pelo celular'!D257)</f>
        <v/>
      </c>
      <c r="M46" s="11" t="str">
        <f>IF('Preencher pelo celular'!F257="","",'Preencher pelo celular'!F257)</f>
        <v/>
      </c>
      <c r="N46" s="11" t="str">
        <f>IF('Preencher pelo celular'!C258="","",'Preencher pelo celular'!C258)</f>
        <v/>
      </c>
      <c r="O46" s="11" t="str">
        <f>IF('Preencher pelo celular'!D258="","",'Preencher pelo celular'!D258)</f>
        <v/>
      </c>
      <c r="P46" s="11" t="str">
        <f>IF('Preencher pelo celular'!F258="","",'Preencher pelo celular'!F258)</f>
        <v/>
      </c>
      <c r="Q46" s="11" t="str">
        <f>IF('Preencher pelo celular'!C259="","",'Preencher pelo celular'!C259)</f>
        <v/>
      </c>
      <c r="R46" s="11" t="str">
        <f>IF('Preencher pelo celular'!D259="","",'Preencher pelo celular'!D259)</f>
        <v/>
      </c>
      <c r="S46" s="11" t="str">
        <f>IF('Preencher pelo celular'!F259="","",'Preencher pelo celular'!F259)</f>
        <v/>
      </c>
      <c r="T46" s="14" t="str">
        <f t="shared" si="3"/>
        <v/>
      </c>
      <c r="U46" s="14" t="str">
        <f t="shared" si="4"/>
        <v/>
      </c>
      <c r="V46" s="14" t="str">
        <f t="shared" si="5"/>
        <v/>
      </c>
    </row>
    <row r="47" spans="1:22" x14ac:dyDescent="0.25">
      <c r="A47" s="15">
        <f>'Preencher pelo celular'!A260</f>
        <v>46333</v>
      </c>
      <c r="B47" s="16" t="str">
        <f>IF('Preencher pelo celular'!C260="","",'Preencher pelo celular'!C260)</f>
        <v/>
      </c>
      <c r="C47" s="16" t="str">
        <f>IF('Preencher pelo celular'!D260="","",'Preencher pelo celular'!D260)</f>
        <v/>
      </c>
      <c r="D47" s="16" t="str">
        <f>IF('Preencher pelo celular'!F260="","",'Preencher pelo celular'!F260)</f>
        <v/>
      </c>
      <c r="E47" s="16" t="str">
        <f>IF('Preencher pelo celular'!C261="","",'Preencher pelo celular'!C261)</f>
        <v/>
      </c>
      <c r="F47" s="16" t="str">
        <f>IF('Preencher pelo celular'!D261="","",'Preencher pelo celular'!D261)</f>
        <v/>
      </c>
      <c r="G47" s="16" t="str">
        <f>IF('Preencher pelo celular'!F261="","",'Preencher pelo celular'!F261)</f>
        <v/>
      </c>
      <c r="H47" s="16" t="str">
        <f>IF('Preencher pelo celular'!C262="","",'Preencher pelo celular'!C262)</f>
        <v/>
      </c>
      <c r="I47" s="16" t="str">
        <f>IF('Preencher pelo celular'!D262="","",'Preencher pelo celular'!D262)</f>
        <v/>
      </c>
      <c r="J47" s="16" t="str">
        <f>IF('Preencher pelo celular'!F262="","",'Preencher pelo celular'!F262)</f>
        <v/>
      </c>
      <c r="K47" s="16" t="str">
        <f>IF('Preencher pelo celular'!C263="","",'Preencher pelo celular'!C263)</f>
        <v/>
      </c>
      <c r="L47" s="16" t="str">
        <f>IF('Preencher pelo celular'!D263="","",'Preencher pelo celular'!D263)</f>
        <v/>
      </c>
      <c r="M47" s="16" t="str">
        <f>IF('Preencher pelo celular'!F263="","",'Preencher pelo celular'!F263)</f>
        <v/>
      </c>
      <c r="N47" s="16" t="str">
        <f>IF('Preencher pelo celular'!C264="","",'Preencher pelo celular'!C264)</f>
        <v/>
      </c>
      <c r="O47" s="16" t="str">
        <f>IF('Preencher pelo celular'!D264="","",'Preencher pelo celular'!D264)</f>
        <v/>
      </c>
      <c r="P47" s="16" t="str">
        <f>IF('Preencher pelo celular'!F264="","",'Preencher pelo celular'!F264)</f>
        <v/>
      </c>
      <c r="Q47" s="16" t="str">
        <f>IF('Preencher pelo celular'!C265="","",'Preencher pelo celular'!C265)</f>
        <v/>
      </c>
      <c r="R47" s="16" t="str">
        <f>IF('Preencher pelo celular'!D265="","",'Preencher pelo celular'!D265)</f>
        <v/>
      </c>
      <c r="S47" s="16" t="str">
        <f>IF('Preencher pelo celular'!F265="","",'Preencher pelo celular'!F265)</f>
        <v/>
      </c>
      <c r="T47" s="14" t="str">
        <f t="shared" si="3"/>
        <v/>
      </c>
      <c r="U47" s="14" t="str">
        <f t="shared" si="4"/>
        <v/>
      </c>
      <c r="V47" s="14" t="str">
        <f t="shared" si="5"/>
        <v/>
      </c>
    </row>
    <row r="48" spans="1:22" x14ac:dyDescent="0.25">
      <c r="A48" s="13">
        <f>'Preencher pelo celular'!A266</f>
        <v>46334</v>
      </c>
      <c r="B48" s="11" t="str">
        <f>IF('Preencher pelo celular'!C266="","",'Preencher pelo celular'!C266)</f>
        <v/>
      </c>
      <c r="C48" s="11" t="str">
        <f>IF('Preencher pelo celular'!D266="","",'Preencher pelo celular'!D266)</f>
        <v/>
      </c>
      <c r="D48" s="11" t="str">
        <f>IF('Preencher pelo celular'!F266="","",'Preencher pelo celular'!F266)</f>
        <v/>
      </c>
      <c r="E48" s="11" t="str">
        <f>IF('Preencher pelo celular'!C267="","",'Preencher pelo celular'!C267)</f>
        <v/>
      </c>
      <c r="F48" s="11" t="str">
        <f>IF('Preencher pelo celular'!D267="","",'Preencher pelo celular'!D267)</f>
        <v/>
      </c>
      <c r="G48" s="11" t="str">
        <f>IF('Preencher pelo celular'!F267="","",'Preencher pelo celular'!F267)</f>
        <v/>
      </c>
      <c r="H48" s="11" t="str">
        <f>IF('Preencher pelo celular'!C268="","",'Preencher pelo celular'!C268)</f>
        <v/>
      </c>
      <c r="I48" s="11" t="str">
        <f>IF('Preencher pelo celular'!D268="","",'Preencher pelo celular'!D268)</f>
        <v/>
      </c>
      <c r="J48" s="11" t="str">
        <f>IF('Preencher pelo celular'!F268="","",'Preencher pelo celular'!F268)</f>
        <v/>
      </c>
      <c r="K48" s="11" t="str">
        <f>IF('Preencher pelo celular'!C269="","",'Preencher pelo celular'!C269)</f>
        <v/>
      </c>
      <c r="L48" s="11" t="str">
        <f>IF('Preencher pelo celular'!D269="","",'Preencher pelo celular'!D269)</f>
        <v/>
      </c>
      <c r="M48" s="11" t="str">
        <f>IF('Preencher pelo celular'!F269="","",'Preencher pelo celular'!F269)</f>
        <v/>
      </c>
      <c r="N48" s="11" t="str">
        <f>IF('Preencher pelo celular'!C270="","",'Preencher pelo celular'!C270)</f>
        <v/>
      </c>
      <c r="O48" s="11" t="str">
        <f>IF('Preencher pelo celular'!D270="","",'Preencher pelo celular'!D270)</f>
        <v/>
      </c>
      <c r="P48" s="11" t="str">
        <f>IF('Preencher pelo celular'!F270="","",'Preencher pelo celular'!F270)</f>
        <v/>
      </c>
      <c r="Q48" s="11" t="str">
        <f>IF('Preencher pelo celular'!C271="","",'Preencher pelo celular'!C271)</f>
        <v/>
      </c>
      <c r="R48" s="11" t="str">
        <f>IF('Preencher pelo celular'!D271="","",'Preencher pelo celular'!D271)</f>
        <v/>
      </c>
      <c r="S48" s="11" t="str">
        <f>IF('Preencher pelo celular'!F271="","",'Preencher pelo celular'!F271)</f>
        <v/>
      </c>
      <c r="T48" s="14" t="str">
        <f t="shared" si="3"/>
        <v/>
      </c>
      <c r="U48" s="14" t="str">
        <f t="shared" si="4"/>
        <v/>
      </c>
      <c r="V48" s="14" t="str">
        <f t="shared" si="5"/>
        <v/>
      </c>
    </row>
    <row r="49" spans="1:22" x14ac:dyDescent="0.25">
      <c r="A49" s="15">
        <f>'Preencher pelo celular'!A272</f>
        <v>46335</v>
      </c>
      <c r="B49" s="16" t="str">
        <f>IF('Preencher pelo celular'!C272="","",'Preencher pelo celular'!C272)</f>
        <v/>
      </c>
      <c r="C49" s="16" t="str">
        <f>IF('Preencher pelo celular'!D272="","",'Preencher pelo celular'!D272)</f>
        <v/>
      </c>
      <c r="D49" s="16" t="str">
        <f>IF('Preencher pelo celular'!F272="","",'Preencher pelo celular'!F272)</f>
        <v/>
      </c>
      <c r="E49" s="16" t="str">
        <f>IF('Preencher pelo celular'!C273="","",'Preencher pelo celular'!C273)</f>
        <v/>
      </c>
      <c r="F49" s="16" t="str">
        <f>IF('Preencher pelo celular'!D273="","",'Preencher pelo celular'!D273)</f>
        <v/>
      </c>
      <c r="G49" s="16" t="str">
        <f>IF('Preencher pelo celular'!F273="","",'Preencher pelo celular'!F273)</f>
        <v/>
      </c>
      <c r="H49" s="16" t="str">
        <f>IF('Preencher pelo celular'!C274="","",'Preencher pelo celular'!C274)</f>
        <v/>
      </c>
      <c r="I49" s="16" t="str">
        <f>IF('Preencher pelo celular'!D274="","",'Preencher pelo celular'!D274)</f>
        <v/>
      </c>
      <c r="J49" s="16" t="str">
        <f>IF('Preencher pelo celular'!F274="","",'Preencher pelo celular'!F274)</f>
        <v/>
      </c>
      <c r="K49" s="16" t="str">
        <f>IF('Preencher pelo celular'!C275="","",'Preencher pelo celular'!C275)</f>
        <v/>
      </c>
      <c r="L49" s="16" t="str">
        <f>IF('Preencher pelo celular'!D275="","",'Preencher pelo celular'!D275)</f>
        <v/>
      </c>
      <c r="M49" s="16" t="str">
        <f>IF('Preencher pelo celular'!F275="","",'Preencher pelo celular'!F275)</f>
        <v/>
      </c>
      <c r="N49" s="16" t="str">
        <f>IF('Preencher pelo celular'!C276="","",'Preencher pelo celular'!C276)</f>
        <v/>
      </c>
      <c r="O49" s="16" t="str">
        <f>IF('Preencher pelo celular'!D276="","",'Preencher pelo celular'!D276)</f>
        <v/>
      </c>
      <c r="P49" s="16" t="str">
        <f>IF('Preencher pelo celular'!F276="","",'Preencher pelo celular'!F276)</f>
        <v/>
      </c>
      <c r="Q49" s="16" t="str">
        <f>IF('Preencher pelo celular'!C277="","",'Preencher pelo celular'!C277)</f>
        <v/>
      </c>
      <c r="R49" s="16" t="str">
        <f>IF('Preencher pelo celular'!D277="","",'Preencher pelo celular'!D277)</f>
        <v/>
      </c>
      <c r="S49" s="16" t="str">
        <f>IF('Preencher pelo celular'!F277="","",'Preencher pelo celular'!F277)</f>
        <v/>
      </c>
      <c r="T49" s="14" t="str">
        <f t="shared" si="3"/>
        <v/>
      </c>
      <c r="U49" s="14" t="str">
        <f t="shared" si="4"/>
        <v/>
      </c>
      <c r="V49" s="14" t="str">
        <f t="shared" si="5"/>
        <v/>
      </c>
    </row>
    <row r="50" spans="1:22" x14ac:dyDescent="0.25">
      <c r="A50" s="13">
        <f>'Preencher pelo celular'!A278</f>
        <v>46336</v>
      </c>
      <c r="B50" s="11" t="str">
        <f>IF('Preencher pelo celular'!C278="","",'Preencher pelo celular'!C278)</f>
        <v/>
      </c>
      <c r="C50" s="11" t="str">
        <f>IF('Preencher pelo celular'!D278="","",'Preencher pelo celular'!D278)</f>
        <v/>
      </c>
      <c r="D50" s="11" t="str">
        <f>IF('Preencher pelo celular'!F278="","",'Preencher pelo celular'!F278)</f>
        <v/>
      </c>
      <c r="E50" s="11" t="str">
        <f>IF('Preencher pelo celular'!C279="","",'Preencher pelo celular'!C279)</f>
        <v/>
      </c>
      <c r="F50" s="11" t="str">
        <f>IF('Preencher pelo celular'!D279="","",'Preencher pelo celular'!D279)</f>
        <v/>
      </c>
      <c r="G50" s="11" t="str">
        <f>IF('Preencher pelo celular'!F279="","",'Preencher pelo celular'!F279)</f>
        <v/>
      </c>
      <c r="H50" s="11" t="str">
        <f>IF('Preencher pelo celular'!C280="","",'Preencher pelo celular'!C280)</f>
        <v/>
      </c>
      <c r="I50" s="11" t="str">
        <f>IF('Preencher pelo celular'!D280="","",'Preencher pelo celular'!D280)</f>
        <v/>
      </c>
      <c r="J50" s="11" t="str">
        <f>IF('Preencher pelo celular'!F280="","",'Preencher pelo celular'!F280)</f>
        <v/>
      </c>
      <c r="K50" s="11" t="str">
        <f>IF('Preencher pelo celular'!C281="","",'Preencher pelo celular'!C281)</f>
        <v/>
      </c>
      <c r="L50" s="11" t="str">
        <f>IF('Preencher pelo celular'!D281="","",'Preencher pelo celular'!D281)</f>
        <v/>
      </c>
      <c r="M50" s="11" t="str">
        <f>IF('Preencher pelo celular'!F281="","",'Preencher pelo celular'!F281)</f>
        <v/>
      </c>
      <c r="N50" s="11" t="str">
        <f>IF('Preencher pelo celular'!C282="","",'Preencher pelo celular'!C282)</f>
        <v/>
      </c>
      <c r="O50" s="11" t="str">
        <f>IF('Preencher pelo celular'!D282="","",'Preencher pelo celular'!D282)</f>
        <v/>
      </c>
      <c r="P50" s="11" t="str">
        <f>IF('Preencher pelo celular'!F282="","",'Preencher pelo celular'!F282)</f>
        <v/>
      </c>
      <c r="Q50" s="11" t="str">
        <f>IF('Preencher pelo celular'!C283="","",'Preencher pelo celular'!C283)</f>
        <v/>
      </c>
      <c r="R50" s="11" t="str">
        <f>IF('Preencher pelo celular'!D283="","",'Preencher pelo celular'!D283)</f>
        <v/>
      </c>
      <c r="S50" s="11" t="str">
        <f>IF('Preencher pelo celular'!F283="","",'Preencher pelo celular'!F283)</f>
        <v/>
      </c>
      <c r="T50" s="14" t="str">
        <f t="shared" si="3"/>
        <v/>
      </c>
      <c r="U50" s="14" t="str">
        <f t="shared" si="4"/>
        <v/>
      </c>
      <c r="V50" s="14" t="str">
        <f t="shared" si="5"/>
        <v/>
      </c>
    </row>
    <row r="51" spans="1:22" x14ac:dyDescent="0.25">
      <c r="A51" s="15">
        <f>'Preencher pelo celular'!A284</f>
        <v>46337</v>
      </c>
      <c r="B51" s="16" t="str">
        <f>IF('Preencher pelo celular'!C284="","",'Preencher pelo celular'!C284)</f>
        <v/>
      </c>
      <c r="C51" s="16" t="str">
        <f>IF('Preencher pelo celular'!D284="","",'Preencher pelo celular'!D284)</f>
        <v/>
      </c>
      <c r="D51" s="16" t="str">
        <f>IF('Preencher pelo celular'!F284="","",'Preencher pelo celular'!F284)</f>
        <v/>
      </c>
      <c r="E51" s="16" t="str">
        <f>IF('Preencher pelo celular'!C285="","",'Preencher pelo celular'!C285)</f>
        <v/>
      </c>
      <c r="F51" s="16" t="str">
        <f>IF('Preencher pelo celular'!D285="","",'Preencher pelo celular'!D285)</f>
        <v/>
      </c>
      <c r="G51" s="16" t="str">
        <f>IF('Preencher pelo celular'!F285="","",'Preencher pelo celular'!F285)</f>
        <v/>
      </c>
      <c r="H51" s="16" t="str">
        <f>IF('Preencher pelo celular'!C286="","",'Preencher pelo celular'!C286)</f>
        <v/>
      </c>
      <c r="I51" s="16" t="str">
        <f>IF('Preencher pelo celular'!D286="","",'Preencher pelo celular'!D286)</f>
        <v/>
      </c>
      <c r="J51" s="16" t="str">
        <f>IF('Preencher pelo celular'!F286="","",'Preencher pelo celular'!F286)</f>
        <v/>
      </c>
      <c r="K51" s="16" t="str">
        <f>IF('Preencher pelo celular'!C287="","",'Preencher pelo celular'!C287)</f>
        <v/>
      </c>
      <c r="L51" s="16" t="str">
        <f>IF('Preencher pelo celular'!D287="","",'Preencher pelo celular'!D287)</f>
        <v/>
      </c>
      <c r="M51" s="16" t="str">
        <f>IF('Preencher pelo celular'!F287="","",'Preencher pelo celular'!F287)</f>
        <v/>
      </c>
      <c r="N51" s="16" t="str">
        <f>IF('Preencher pelo celular'!C288="","",'Preencher pelo celular'!C288)</f>
        <v/>
      </c>
      <c r="O51" s="16" t="str">
        <f>IF('Preencher pelo celular'!D288="","",'Preencher pelo celular'!D288)</f>
        <v/>
      </c>
      <c r="P51" s="16" t="str">
        <f>IF('Preencher pelo celular'!F288="","",'Preencher pelo celular'!F288)</f>
        <v/>
      </c>
      <c r="Q51" s="16" t="str">
        <f>IF('Preencher pelo celular'!C289="","",'Preencher pelo celular'!C289)</f>
        <v/>
      </c>
      <c r="R51" s="16" t="str">
        <f>IF('Preencher pelo celular'!D289="","",'Preencher pelo celular'!D289)</f>
        <v/>
      </c>
      <c r="S51" s="16" t="str">
        <f>IF('Preencher pelo celular'!F289="","",'Preencher pelo celular'!F289)</f>
        <v/>
      </c>
      <c r="T51" s="14" t="str">
        <f t="shared" si="3"/>
        <v/>
      </c>
      <c r="U51" s="14" t="str">
        <f t="shared" si="4"/>
        <v/>
      </c>
      <c r="V51" s="14" t="str">
        <f t="shared" si="5"/>
        <v/>
      </c>
    </row>
    <row r="52" spans="1:22" x14ac:dyDescent="0.25">
      <c r="A52" s="13">
        <f>'Preencher pelo celular'!A290</f>
        <v>46338</v>
      </c>
      <c r="B52" s="11" t="str">
        <f>IF('Preencher pelo celular'!C290="","",'Preencher pelo celular'!C290)</f>
        <v/>
      </c>
      <c r="C52" s="11" t="str">
        <f>IF('Preencher pelo celular'!D290="","",'Preencher pelo celular'!D290)</f>
        <v/>
      </c>
      <c r="D52" s="11" t="str">
        <f>IF('Preencher pelo celular'!F290="","",'Preencher pelo celular'!F290)</f>
        <v/>
      </c>
      <c r="E52" s="11" t="str">
        <f>IF('Preencher pelo celular'!C291="","",'Preencher pelo celular'!C291)</f>
        <v/>
      </c>
      <c r="F52" s="11" t="str">
        <f>IF('Preencher pelo celular'!D291="","",'Preencher pelo celular'!D291)</f>
        <v/>
      </c>
      <c r="G52" s="11" t="str">
        <f>IF('Preencher pelo celular'!F291="","",'Preencher pelo celular'!F291)</f>
        <v/>
      </c>
      <c r="H52" s="11" t="str">
        <f>IF('Preencher pelo celular'!C292="","",'Preencher pelo celular'!C292)</f>
        <v/>
      </c>
      <c r="I52" s="11" t="str">
        <f>IF('Preencher pelo celular'!D292="","",'Preencher pelo celular'!D292)</f>
        <v/>
      </c>
      <c r="J52" s="11" t="str">
        <f>IF('Preencher pelo celular'!F292="","",'Preencher pelo celular'!F292)</f>
        <v/>
      </c>
      <c r="K52" s="11" t="str">
        <f>IF('Preencher pelo celular'!C293="","",'Preencher pelo celular'!C293)</f>
        <v/>
      </c>
      <c r="L52" s="11" t="str">
        <f>IF('Preencher pelo celular'!D293="","",'Preencher pelo celular'!D293)</f>
        <v/>
      </c>
      <c r="M52" s="11" t="str">
        <f>IF('Preencher pelo celular'!F293="","",'Preencher pelo celular'!F293)</f>
        <v/>
      </c>
      <c r="N52" s="11" t="str">
        <f>IF('Preencher pelo celular'!C294="","",'Preencher pelo celular'!C294)</f>
        <v/>
      </c>
      <c r="O52" s="11" t="str">
        <f>IF('Preencher pelo celular'!D294="","",'Preencher pelo celular'!D294)</f>
        <v/>
      </c>
      <c r="P52" s="11" t="str">
        <f>IF('Preencher pelo celular'!F294="","",'Preencher pelo celular'!F294)</f>
        <v/>
      </c>
      <c r="Q52" s="11" t="str">
        <f>IF('Preencher pelo celular'!C295="","",'Preencher pelo celular'!C295)</f>
        <v/>
      </c>
      <c r="R52" s="11" t="str">
        <f>IF('Preencher pelo celular'!D295="","",'Preencher pelo celular'!D295)</f>
        <v/>
      </c>
      <c r="S52" s="11" t="str">
        <f>IF('Preencher pelo celular'!F295="","",'Preencher pelo celular'!F295)</f>
        <v/>
      </c>
      <c r="T52" s="14" t="str">
        <f t="shared" si="3"/>
        <v/>
      </c>
      <c r="U52" s="14" t="str">
        <f t="shared" si="4"/>
        <v/>
      </c>
      <c r="V52" s="14" t="str">
        <f t="shared" si="5"/>
        <v/>
      </c>
    </row>
    <row r="53" spans="1:22" x14ac:dyDescent="0.25">
      <c r="A53" s="15">
        <f>'Preencher pelo celular'!A296</f>
        <v>46339</v>
      </c>
      <c r="B53" s="16" t="str">
        <f>IF('Preencher pelo celular'!C296="","",'Preencher pelo celular'!C296)</f>
        <v/>
      </c>
      <c r="C53" s="16" t="str">
        <f>IF('Preencher pelo celular'!D296="","",'Preencher pelo celular'!D296)</f>
        <v/>
      </c>
      <c r="D53" s="16" t="str">
        <f>IF('Preencher pelo celular'!F296="","",'Preencher pelo celular'!F296)</f>
        <v/>
      </c>
      <c r="E53" s="16" t="str">
        <f>IF('Preencher pelo celular'!C297="","",'Preencher pelo celular'!C297)</f>
        <v/>
      </c>
      <c r="F53" s="16" t="str">
        <f>IF('Preencher pelo celular'!D297="","",'Preencher pelo celular'!D297)</f>
        <v/>
      </c>
      <c r="G53" s="16" t="str">
        <f>IF('Preencher pelo celular'!F297="","",'Preencher pelo celular'!F297)</f>
        <v/>
      </c>
      <c r="H53" s="16" t="str">
        <f>IF('Preencher pelo celular'!C298="","",'Preencher pelo celular'!C298)</f>
        <v/>
      </c>
      <c r="I53" s="16" t="str">
        <f>IF('Preencher pelo celular'!D298="","",'Preencher pelo celular'!D298)</f>
        <v/>
      </c>
      <c r="J53" s="16" t="str">
        <f>IF('Preencher pelo celular'!F298="","",'Preencher pelo celular'!F298)</f>
        <v/>
      </c>
      <c r="K53" s="16" t="str">
        <f>IF('Preencher pelo celular'!C299="","",'Preencher pelo celular'!C299)</f>
        <v/>
      </c>
      <c r="L53" s="16" t="str">
        <f>IF('Preencher pelo celular'!D299="","",'Preencher pelo celular'!D299)</f>
        <v/>
      </c>
      <c r="M53" s="16" t="str">
        <f>IF('Preencher pelo celular'!F299="","",'Preencher pelo celular'!F299)</f>
        <v/>
      </c>
      <c r="N53" s="16" t="str">
        <f>IF('Preencher pelo celular'!C300="","",'Preencher pelo celular'!C300)</f>
        <v/>
      </c>
      <c r="O53" s="16" t="str">
        <f>IF('Preencher pelo celular'!D300="","",'Preencher pelo celular'!D300)</f>
        <v/>
      </c>
      <c r="P53" s="16" t="str">
        <f>IF('Preencher pelo celular'!F300="","",'Preencher pelo celular'!F300)</f>
        <v/>
      </c>
      <c r="Q53" s="16" t="str">
        <f>IF('Preencher pelo celular'!C301="","",'Preencher pelo celular'!C301)</f>
        <v/>
      </c>
      <c r="R53" s="16" t="str">
        <f>IF('Preencher pelo celular'!D301="","",'Preencher pelo celular'!D301)</f>
        <v/>
      </c>
      <c r="S53" s="16" t="str">
        <f>IF('Preencher pelo celular'!F301="","",'Preencher pelo celular'!F301)</f>
        <v/>
      </c>
      <c r="T53" s="14" t="str">
        <f t="shared" si="3"/>
        <v/>
      </c>
      <c r="U53" s="14" t="str">
        <f t="shared" si="4"/>
        <v/>
      </c>
      <c r="V53" s="14" t="str">
        <f t="shared" si="5"/>
        <v/>
      </c>
    </row>
    <row r="54" spans="1:22" x14ac:dyDescent="0.25">
      <c r="A54" s="13">
        <f>'Preencher pelo celular'!A302</f>
        <v>46340</v>
      </c>
      <c r="B54" s="11" t="str">
        <f>IF('Preencher pelo celular'!C302="","",'Preencher pelo celular'!C302)</f>
        <v/>
      </c>
      <c r="C54" s="11" t="str">
        <f>IF('Preencher pelo celular'!D302="","",'Preencher pelo celular'!D302)</f>
        <v/>
      </c>
      <c r="D54" s="11" t="str">
        <f>IF('Preencher pelo celular'!F302="","",'Preencher pelo celular'!F302)</f>
        <v/>
      </c>
      <c r="E54" s="11" t="str">
        <f>IF('Preencher pelo celular'!C303="","",'Preencher pelo celular'!C303)</f>
        <v/>
      </c>
      <c r="F54" s="11" t="str">
        <f>IF('Preencher pelo celular'!D303="","",'Preencher pelo celular'!D303)</f>
        <v/>
      </c>
      <c r="G54" s="11" t="str">
        <f>IF('Preencher pelo celular'!F303="","",'Preencher pelo celular'!F303)</f>
        <v/>
      </c>
      <c r="H54" s="11" t="str">
        <f>IF('Preencher pelo celular'!C304="","",'Preencher pelo celular'!C304)</f>
        <v/>
      </c>
      <c r="I54" s="11" t="str">
        <f>IF('Preencher pelo celular'!D304="","",'Preencher pelo celular'!D304)</f>
        <v/>
      </c>
      <c r="J54" s="11" t="str">
        <f>IF('Preencher pelo celular'!F304="","",'Preencher pelo celular'!F304)</f>
        <v/>
      </c>
      <c r="K54" s="11" t="str">
        <f>IF('Preencher pelo celular'!C305="","",'Preencher pelo celular'!C305)</f>
        <v/>
      </c>
      <c r="L54" s="11" t="str">
        <f>IF('Preencher pelo celular'!D305="","",'Preencher pelo celular'!D305)</f>
        <v/>
      </c>
      <c r="M54" s="11" t="str">
        <f>IF('Preencher pelo celular'!F305="","",'Preencher pelo celular'!F305)</f>
        <v/>
      </c>
      <c r="N54" s="11" t="str">
        <f>IF('Preencher pelo celular'!C306="","",'Preencher pelo celular'!C306)</f>
        <v/>
      </c>
      <c r="O54" s="11" t="str">
        <f>IF('Preencher pelo celular'!D306="","",'Preencher pelo celular'!D306)</f>
        <v/>
      </c>
      <c r="P54" s="11" t="str">
        <f>IF('Preencher pelo celular'!F306="","",'Preencher pelo celular'!F306)</f>
        <v/>
      </c>
      <c r="Q54" s="11" t="str">
        <f>IF('Preencher pelo celular'!C307="","",'Preencher pelo celular'!C307)</f>
        <v/>
      </c>
      <c r="R54" s="11" t="str">
        <f>IF('Preencher pelo celular'!D307="","",'Preencher pelo celular'!D307)</f>
        <v/>
      </c>
      <c r="S54" s="11" t="str">
        <f>IF('Preencher pelo celular'!F307="","",'Preencher pelo celular'!F307)</f>
        <v/>
      </c>
      <c r="T54" s="14" t="str">
        <f t="shared" si="3"/>
        <v/>
      </c>
      <c r="U54" s="14" t="str">
        <f t="shared" si="4"/>
        <v/>
      </c>
      <c r="V54" s="14" t="str">
        <f t="shared" si="5"/>
        <v/>
      </c>
    </row>
    <row r="55" spans="1:22" x14ac:dyDescent="0.25">
      <c r="A55" s="15">
        <f>'Preencher pelo celular'!A308</f>
        <v>46341</v>
      </c>
      <c r="B55" s="16" t="str">
        <f>IF('Preencher pelo celular'!C308="","",'Preencher pelo celular'!C308)</f>
        <v/>
      </c>
      <c r="C55" s="16" t="str">
        <f>IF('Preencher pelo celular'!D308="","",'Preencher pelo celular'!D308)</f>
        <v/>
      </c>
      <c r="D55" s="16" t="str">
        <f>IF('Preencher pelo celular'!F308="","",'Preencher pelo celular'!F308)</f>
        <v/>
      </c>
      <c r="E55" s="16" t="str">
        <f>IF('Preencher pelo celular'!C309="","",'Preencher pelo celular'!C309)</f>
        <v/>
      </c>
      <c r="F55" s="16" t="str">
        <f>IF('Preencher pelo celular'!D309="","",'Preencher pelo celular'!D309)</f>
        <v/>
      </c>
      <c r="G55" s="16" t="str">
        <f>IF('Preencher pelo celular'!F309="","",'Preencher pelo celular'!F309)</f>
        <v/>
      </c>
      <c r="H55" s="16" t="str">
        <f>IF('Preencher pelo celular'!C310="","",'Preencher pelo celular'!C310)</f>
        <v/>
      </c>
      <c r="I55" s="16" t="str">
        <f>IF('Preencher pelo celular'!D310="","",'Preencher pelo celular'!D310)</f>
        <v/>
      </c>
      <c r="J55" s="16" t="str">
        <f>IF('Preencher pelo celular'!F310="","",'Preencher pelo celular'!F310)</f>
        <v/>
      </c>
      <c r="K55" s="16" t="str">
        <f>IF('Preencher pelo celular'!C311="","",'Preencher pelo celular'!C311)</f>
        <v/>
      </c>
      <c r="L55" s="16" t="str">
        <f>IF('Preencher pelo celular'!D311="","",'Preencher pelo celular'!D311)</f>
        <v/>
      </c>
      <c r="M55" s="16" t="str">
        <f>IF('Preencher pelo celular'!F311="","",'Preencher pelo celular'!F311)</f>
        <v/>
      </c>
      <c r="N55" s="16" t="str">
        <f>IF('Preencher pelo celular'!C312="","",'Preencher pelo celular'!C312)</f>
        <v/>
      </c>
      <c r="O55" s="16" t="str">
        <f>IF('Preencher pelo celular'!D312="","",'Preencher pelo celular'!D312)</f>
        <v/>
      </c>
      <c r="P55" s="16" t="str">
        <f>IF('Preencher pelo celular'!F312="","",'Preencher pelo celular'!F312)</f>
        <v/>
      </c>
      <c r="Q55" s="16" t="str">
        <f>IF('Preencher pelo celular'!C313="","",'Preencher pelo celular'!C313)</f>
        <v/>
      </c>
      <c r="R55" s="16" t="str">
        <f>IF('Preencher pelo celular'!D313="","",'Preencher pelo celular'!D313)</f>
        <v/>
      </c>
      <c r="S55" s="16" t="str">
        <f>IF('Preencher pelo celular'!F313="","",'Preencher pelo celular'!F313)</f>
        <v/>
      </c>
      <c r="T55" s="14" t="str">
        <f t="shared" si="3"/>
        <v/>
      </c>
      <c r="U55" s="14" t="str">
        <f t="shared" si="4"/>
        <v/>
      </c>
      <c r="V55" s="14" t="str">
        <f t="shared" si="5"/>
        <v/>
      </c>
    </row>
    <row r="56" spans="1:22" x14ac:dyDescent="0.25">
      <c r="A56" s="13">
        <f>'Preencher pelo celular'!A314</f>
        <v>46342</v>
      </c>
      <c r="B56" s="11" t="str">
        <f>IF('Preencher pelo celular'!C314="","",'Preencher pelo celular'!C314)</f>
        <v/>
      </c>
      <c r="C56" s="11" t="str">
        <f>IF('Preencher pelo celular'!D314="","",'Preencher pelo celular'!D314)</f>
        <v/>
      </c>
      <c r="D56" s="11" t="str">
        <f>IF('Preencher pelo celular'!F314="","",'Preencher pelo celular'!F314)</f>
        <v/>
      </c>
      <c r="E56" s="11" t="str">
        <f>IF('Preencher pelo celular'!C315="","",'Preencher pelo celular'!C315)</f>
        <v/>
      </c>
      <c r="F56" s="11" t="str">
        <f>IF('Preencher pelo celular'!D315="","",'Preencher pelo celular'!D315)</f>
        <v/>
      </c>
      <c r="G56" s="11" t="str">
        <f>IF('Preencher pelo celular'!F315="","",'Preencher pelo celular'!F315)</f>
        <v/>
      </c>
      <c r="H56" s="11" t="str">
        <f>IF('Preencher pelo celular'!C316="","",'Preencher pelo celular'!C316)</f>
        <v/>
      </c>
      <c r="I56" s="11" t="str">
        <f>IF('Preencher pelo celular'!D316="","",'Preencher pelo celular'!D316)</f>
        <v/>
      </c>
      <c r="J56" s="11" t="str">
        <f>IF('Preencher pelo celular'!F316="","",'Preencher pelo celular'!F316)</f>
        <v/>
      </c>
      <c r="K56" s="11" t="str">
        <f>IF('Preencher pelo celular'!C317="","",'Preencher pelo celular'!C317)</f>
        <v/>
      </c>
      <c r="L56" s="11" t="str">
        <f>IF('Preencher pelo celular'!D317="","",'Preencher pelo celular'!D317)</f>
        <v/>
      </c>
      <c r="M56" s="11" t="str">
        <f>IF('Preencher pelo celular'!F317="","",'Preencher pelo celular'!F317)</f>
        <v/>
      </c>
      <c r="N56" s="11" t="str">
        <f>IF('Preencher pelo celular'!C318="","",'Preencher pelo celular'!C318)</f>
        <v/>
      </c>
      <c r="O56" s="11" t="str">
        <f>IF('Preencher pelo celular'!D318="","",'Preencher pelo celular'!D318)</f>
        <v/>
      </c>
      <c r="P56" s="11" t="str">
        <f>IF('Preencher pelo celular'!F318="","",'Preencher pelo celular'!F318)</f>
        <v/>
      </c>
      <c r="Q56" s="11" t="str">
        <f>IF('Preencher pelo celular'!C319="","",'Preencher pelo celular'!C319)</f>
        <v/>
      </c>
      <c r="R56" s="11" t="str">
        <f>IF('Preencher pelo celular'!D319="","",'Preencher pelo celular'!D319)</f>
        <v/>
      </c>
      <c r="S56" s="11" t="str">
        <f>IF('Preencher pelo celular'!F319="","",'Preencher pelo celular'!F319)</f>
        <v/>
      </c>
      <c r="T56" s="14" t="str">
        <f t="shared" si="3"/>
        <v/>
      </c>
      <c r="U56" s="14" t="str">
        <f t="shared" si="4"/>
        <v/>
      </c>
      <c r="V56" s="14" t="str">
        <f t="shared" si="5"/>
        <v/>
      </c>
    </row>
    <row r="57" spans="1:22" x14ac:dyDescent="0.25">
      <c r="A57" s="15">
        <f>'Preencher pelo celular'!A320</f>
        <v>46343</v>
      </c>
      <c r="B57" s="16" t="str">
        <f>IF('Preencher pelo celular'!C320="","",'Preencher pelo celular'!C320)</f>
        <v/>
      </c>
      <c r="C57" s="16" t="str">
        <f>IF('Preencher pelo celular'!D320="","",'Preencher pelo celular'!D320)</f>
        <v/>
      </c>
      <c r="D57" s="16" t="str">
        <f>IF('Preencher pelo celular'!F320="","",'Preencher pelo celular'!F320)</f>
        <v/>
      </c>
      <c r="E57" s="16" t="str">
        <f>IF('Preencher pelo celular'!C321="","",'Preencher pelo celular'!C321)</f>
        <v/>
      </c>
      <c r="F57" s="16" t="str">
        <f>IF('Preencher pelo celular'!D321="","",'Preencher pelo celular'!D321)</f>
        <v/>
      </c>
      <c r="G57" s="16" t="str">
        <f>IF('Preencher pelo celular'!F321="","",'Preencher pelo celular'!F321)</f>
        <v/>
      </c>
      <c r="H57" s="16" t="str">
        <f>IF('Preencher pelo celular'!C322="","",'Preencher pelo celular'!C322)</f>
        <v/>
      </c>
      <c r="I57" s="16" t="str">
        <f>IF('Preencher pelo celular'!D322="","",'Preencher pelo celular'!D322)</f>
        <v/>
      </c>
      <c r="J57" s="16" t="str">
        <f>IF('Preencher pelo celular'!F322="","",'Preencher pelo celular'!F322)</f>
        <v/>
      </c>
      <c r="K57" s="16" t="str">
        <f>IF('Preencher pelo celular'!C323="","",'Preencher pelo celular'!C323)</f>
        <v/>
      </c>
      <c r="L57" s="16" t="str">
        <f>IF('Preencher pelo celular'!D323="","",'Preencher pelo celular'!D323)</f>
        <v/>
      </c>
      <c r="M57" s="16" t="str">
        <f>IF('Preencher pelo celular'!F323="","",'Preencher pelo celular'!F323)</f>
        <v/>
      </c>
      <c r="N57" s="16" t="str">
        <f>IF('Preencher pelo celular'!C324="","",'Preencher pelo celular'!C324)</f>
        <v/>
      </c>
      <c r="O57" s="16" t="str">
        <f>IF('Preencher pelo celular'!D324="","",'Preencher pelo celular'!D324)</f>
        <v/>
      </c>
      <c r="P57" s="16" t="str">
        <f>IF('Preencher pelo celular'!F324="","",'Preencher pelo celular'!F324)</f>
        <v/>
      </c>
      <c r="Q57" s="16" t="str">
        <f>IF('Preencher pelo celular'!C325="","",'Preencher pelo celular'!C325)</f>
        <v/>
      </c>
      <c r="R57" s="16" t="str">
        <f>IF('Preencher pelo celular'!D325="","",'Preencher pelo celular'!D325)</f>
        <v/>
      </c>
      <c r="S57" s="16" t="str">
        <f>IF('Preencher pelo celular'!F325="","",'Preencher pelo celular'!F325)</f>
        <v/>
      </c>
      <c r="T57" s="14" t="str">
        <f t="shared" si="3"/>
        <v/>
      </c>
      <c r="U57" s="14" t="str">
        <f t="shared" si="4"/>
        <v/>
      </c>
      <c r="V57" s="14" t="str">
        <f t="shared" si="5"/>
        <v/>
      </c>
    </row>
    <row r="58" spans="1:22" x14ac:dyDescent="0.25">
      <c r="A58" s="13">
        <f>'Preencher pelo celular'!A326</f>
        <v>46344</v>
      </c>
      <c r="B58" s="11" t="str">
        <f>IF('Preencher pelo celular'!C326="","",'Preencher pelo celular'!C326)</f>
        <v/>
      </c>
      <c r="C58" s="11" t="str">
        <f>IF('Preencher pelo celular'!D326="","",'Preencher pelo celular'!D326)</f>
        <v/>
      </c>
      <c r="D58" s="11" t="str">
        <f>IF('Preencher pelo celular'!F326="","",'Preencher pelo celular'!F326)</f>
        <v/>
      </c>
      <c r="E58" s="11" t="str">
        <f>IF('Preencher pelo celular'!C327="","",'Preencher pelo celular'!C327)</f>
        <v/>
      </c>
      <c r="F58" s="11" t="str">
        <f>IF('Preencher pelo celular'!D327="","",'Preencher pelo celular'!D327)</f>
        <v/>
      </c>
      <c r="G58" s="11" t="str">
        <f>IF('Preencher pelo celular'!F327="","",'Preencher pelo celular'!F327)</f>
        <v/>
      </c>
      <c r="H58" s="11" t="str">
        <f>IF('Preencher pelo celular'!C328="","",'Preencher pelo celular'!C328)</f>
        <v/>
      </c>
      <c r="I58" s="11" t="str">
        <f>IF('Preencher pelo celular'!D328="","",'Preencher pelo celular'!D328)</f>
        <v/>
      </c>
      <c r="J58" s="11" t="str">
        <f>IF('Preencher pelo celular'!F328="","",'Preencher pelo celular'!F328)</f>
        <v/>
      </c>
      <c r="K58" s="11" t="str">
        <f>IF('Preencher pelo celular'!C329="","",'Preencher pelo celular'!C329)</f>
        <v/>
      </c>
      <c r="L58" s="11" t="str">
        <f>IF('Preencher pelo celular'!D329="","",'Preencher pelo celular'!D329)</f>
        <v/>
      </c>
      <c r="M58" s="11" t="str">
        <f>IF('Preencher pelo celular'!F329="","",'Preencher pelo celular'!F329)</f>
        <v/>
      </c>
      <c r="N58" s="11" t="str">
        <f>IF('Preencher pelo celular'!C330="","",'Preencher pelo celular'!C330)</f>
        <v/>
      </c>
      <c r="O58" s="11" t="str">
        <f>IF('Preencher pelo celular'!D330="","",'Preencher pelo celular'!D330)</f>
        <v/>
      </c>
      <c r="P58" s="11" t="str">
        <f>IF('Preencher pelo celular'!F330="","",'Preencher pelo celular'!F330)</f>
        <v/>
      </c>
      <c r="Q58" s="11" t="str">
        <f>IF('Preencher pelo celular'!C331="","",'Preencher pelo celular'!C331)</f>
        <v/>
      </c>
      <c r="R58" s="11" t="str">
        <f>IF('Preencher pelo celular'!D331="","",'Preencher pelo celular'!D331)</f>
        <v/>
      </c>
      <c r="S58" s="11" t="str">
        <f>IF('Preencher pelo celular'!F331="","",'Preencher pelo celular'!F331)</f>
        <v/>
      </c>
      <c r="T58" s="14" t="str">
        <f t="shared" si="3"/>
        <v/>
      </c>
      <c r="U58" s="14" t="str">
        <f t="shared" si="4"/>
        <v/>
      </c>
      <c r="V58" s="14" t="str">
        <f t="shared" si="5"/>
        <v/>
      </c>
    </row>
    <row r="59" spans="1:22" x14ac:dyDescent="0.25">
      <c r="A59" s="15">
        <f>'Preencher pelo celular'!A332</f>
        <v>46345</v>
      </c>
      <c r="B59" s="16" t="str">
        <f>IF('Preencher pelo celular'!C332="","",'Preencher pelo celular'!C332)</f>
        <v/>
      </c>
      <c r="C59" s="16" t="str">
        <f>IF('Preencher pelo celular'!D332="","",'Preencher pelo celular'!D332)</f>
        <v/>
      </c>
      <c r="D59" s="16" t="str">
        <f>IF('Preencher pelo celular'!F332="","",'Preencher pelo celular'!F332)</f>
        <v/>
      </c>
      <c r="E59" s="16" t="str">
        <f>IF('Preencher pelo celular'!C333="","",'Preencher pelo celular'!C333)</f>
        <v/>
      </c>
      <c r="F59" s="16" t="str">
        <f>IF('Preencher pelo celular'!D333="","",'Preencher pelo celular'!D333)</f>
        <v/>
      </c>
      <c r="G59" s="16" t="str">
        <f>IF('Preencher pelo celular'!F333="","",'Preencher pelo celular'!F333)</f>
        <v/>
      </c>
      <c r="H59" s="16" t="str">
        <f>IF('Preencher pelo celular'!C334="","",'Preencher pelo celular'!C334)</f>
        <v/>
      </c>
      <c r="I59" s="16" t="str">
        <f>IF('Preencher pelo celular'!D334="","",'Preencher pelo celular'!D334)</f>
        <v/>
      </c>
      <c r="J59" s="16" t="str">
        <f>IF('Preencher pelo celular'!F334="","",'Preencher pelo celular'!F334)</f>
        <v/>
      </c>
      <c r="K59" s="16" t="str">
        <f>IF('Preencher pelo celular'!C335="","",'Preencher pelo celular'!C335)</f>
        <v/>
      </c>
      <c r="L59" s="16" t="str">
        <f>IF('Preencher pelo celular'!D335="","",'Preencher pelo celular'!D335)</f>
        <v/>
      </c>
      <c r="M59" s="16" t="str">
        <f>IF('Preencher pelo celular'!F335="","",'Preencher pelo celular'!F335)</f>
        <v/>
      </c>
      <c r="N59" s="16" t="str">
        <f>IF('Preencher pelo celular'!C336="","",'Preencher pelo celular'!C336)</f>
        <v/>
      </c>
      <c r="O59" s="16" t="str">
        <f>IF('Preencher pelo celular'!D336="","",'Preencher pelo celular'!D336)</f>
        <v/>
      </c>
      <c r="P59" s="16" t="str">
        <f>IF('Preencher pelo celular'!F336="","",'Preencher pelo celular'!F336)</f>
        <v/>
      </c>
      <c r="Q59" s="16" t="str">
        <f>IF('Preencher pelo celular'!C337="","",'Preencher pelo celular'!C337)</f>
        <v/>
      </c>
      <c r="R59" s="16" t="str">
        <f>IF('Preencher pelo celular'!D337="","",'Preencher pelo celular'!D337)</f>
        <v/>
      </c>
      <c r="S59" s="16" t="str">
        <f>IF('Preencher pelo celular'!F337="","",'Preencher pelo celular'!F337)</f>
        <v/>
      </c>
      <c r="T59" s="14" t="str">
        <f t="shared" si="3"/>
        <v/>
      </c>
      <c r="U59" s="14" t="str">
        <f t="shared" si="4"/>
        <v/>
      </c>
      <c r="V59" s="14" t="str">
        <f t="shared" si="5"/>
        <v/>
      </c>
    </row>
    <row r="60" spans="1:22" x14ac:dyDescent="0.25">
      <c r="A60" s="13">
        <f>'Preencher pelo celular'!A338</f>
        <v>46346</v>
      </c>
      <c r="B60" s="11" t="str">
        <f>IF('Preencher pelo celular'!C338="","",'Preencher pelo celular'!C338)</f>
        <v/>
      </c>
      <c r="C60" s="11" t="str">
        <f>IF('Preencher pelo celular'!D338="","",'Preencher pelo celular'!D338)</f>
        <v/>
      </c>
      <c r="D60" s="11" t="str">
        <f>IF('Preencher pelo celular'!F338="","",'Preencher pelo celular'!F338)</f>
        <v/>
      </c>
      <c r="E60" s="11" t="str">
        <f>IF('Preencher pelo celular'!C339="","",'Preencher pelo celular'!C339)</f>
        <v/>
      </c>
      <c r="F60" s="11" t="str">
        <f>IF('Preencher pelo celular'!D339="","",'Preencher pelo celular'!D339)</f>
        <v/>
      </c>
      <c r="G60" s="11" t="str">
        <f>IF('Preencher pelo celular'!F339="","",'Preencher pelo celular'!F339)</f>
        <v/>
      </c>
      <c r="H60" s="11" t="str">
        <f>IF('Preencher pelo celular'!C340="","",'Preencher pelo celular'!C340)</f>
        <v/>
      </c>
      <c r="I60" s="11" t="str">
        <f>IF('Preencher pelo celular'!D340="","",'Preencher pelo celular'!D340)</f>
        <v/>
      </c>
      <c r="J60" s="11" t="str">
        <f>IF('Preencher pelo celular'!F340="","",'Preencher pelo celular'!F340)</f>
        <v/>
      </c>
      <c r="K60" s="11" t="str">
        <f>IF('Preencher pelo celular'!C341="","",'Preencher pelo celular'!C341)</f>
        <v/>
      </c>
      <c r="L60" s="11" t="str">
        <f>IF('Preencher pelo celular'!D341="","",'Preencher pelo celular'!D341)</f>
        <v/>
      </c>
      <c r="M60" s="11" t="str">
        <f>IF('Preencher pelo celular'!F341="","",'Preencher pelo celular'!F341)</f>
        <v/>
      </c>
      <c r="N60" s="11" t="str">
        <f>IF('Preencher pelo celular'!C342="","",'Preencher pelo celular'!C342)</f>
        <v/>
      </c>
      <c r="O60" s="11" t="str">
        <f>IF('Preencher pelo celular'!D342="","",'Preencher pelo celular'!D342)</f>
        <v/>
      </c>
      <c r="P60" s="11" t="str">
        <f>IF('Preencher pelo celular'!F342="","",'Preencher pelo celular'!F342)</f>
        <v/>
      </c>
      <c r="Q60" s="11" t="str">
        <f>IF('Preencher pelo celular'!C343="","",'Preencher pelo celular'!C343)</f>
        <v/>
      </c>
      <c r="R60" s="11" t="str">
        <f>IF('Preencher pelo celular'!D343="","",'Preencher pelo celular'!D343)</f>
        <v/>
      </c>
      <c r="S60" s="11" t="str">
        <f>IF('Preencher pelo celular'!F343="","",'Preencher pelo celular'!F343)</f>
        <v/>
      </c>
      <c r="T60" s="14" t="str">
        <f t="shared" si="3"/>
        <v/>
      </c>
      <c r="U60" s="14" t="str">
        <f t="shared" si="4"/>
        <v/>
      </c>
      <c r="V60" s="14" t="str">
        <f t="shared" si="5"/>
        <v/>
      </c>
    </row>
    <row r="61" spans="1:22" x14ac:dyDescent="0.25">
      <c r="A61" s="15">
        <f>'Preencher pelo celular'!A344</f>
        <v>46347</v>
      </c>
      <c r="B61" s="16" t="str">
        <f>IF('Preencher pelo celular'!C344="","",'Preencher pelo celular'!C344)</f>
        <v/>
      </c>
      <c r="C61" s="16" t="str">
        <f>IF('Preencher pelo celular'!D344="","",'Preencher pelo celular'!D344)</f>
        <v/>
      </c>
      <c r="D61" s="16" t="str">
        <f>IF('Preencher pelo celular'!F344="","",'Preencher pelo celular'!F344)</f>
        <v/>
      </c>
      <c r="E61" s="16" t="str">
        <f>IF('Preencher pelo celular'!C345="","",'Preencher pelo celular'!C345)</f>
        <v/>
      </c>
      <c r="F61" s="16" t="str">
        <f>IF('Preencher pelo celular'!D345="","",'Preencher pelo celular'!D345)</f>
        <v/>
      </c>
      <c r="G61" s="16" t="str">
        <f>IF('Preencher pelo celular'!F345="","",'Preencher pelo celular'!F345)</f>
        <v/>
      </c>
      <c r="H61" s="16" t="str">
        <f>IF('Preencher pelo celular'!C346="","",'Preencher pelo celular'!C346)</f>
        <v/>
      </c>
      <c r="I61" s="16" t="str">
        <f>IF('Preencher pelo celular'!D346="","",'Preencher pelo celular'!D346)</f>
        <v/>
      </c>
      <c r="J61" s="16" t="str">
        <f>IF('Preencher pelo celular'!F346="","",'Preencher pelo celular'!F346)</f>
        <v/>
      </c>
      <c r="K61" s="16" t="str">
        <f>IF('Preencher pelo celular'!C347="","",'Preencher pelo celular'!C347)</f>
        <v/>
      </c>
      <c r="L61" s="16" t="str">
        <f>IF('Preencher pelo celular'!D347="","",'Preencher pelo celular'!D347)</f>
        <v/>
      </c>
      <c r="M61" s="16" t="str">
        <f>IF('Preencher pelo celular'!F347="","",'Preencher pelo celular'!F347)</f>
        <v/>
      </c>
      <c r="N61" s="16" t="str">
        <f>IF('Preencher pelo celular'!C348="","",'Preencher pelo celular'!C348)</f>
        <v/>
      </c>
      <c r="O61" s="16" t="str">
        <f>IF('Preencher pelo celular'!D348="","",'Preencher pelo celular'!D348)</f>
        <v/>
      </c>
      <c r="P61" s="16" t="str">
        <f>IF('Preencher pelo celular'!F348="","",'Preencher pelo celular'!F348)</f>
        <v/>
      </c>
      <c r="Q61" s="16" t="str">
        <f>IF('Preencher pelo celular'!C349="","",'Preencher pelo celular'!C349)</f>
        <v/>
      </c>
      <c r="R61" s="16" t="str">
        <f>IF('Preencher pelo celular'!D349="","",'Preencher pelo celular'!D349)</f>
        <v/>
      </c>
      <c r="S61" s="16" t="str">
        <f>IF('Preencher pelo celular'!F349="","",'Preencher pelo celular'!F349)</f>
        <v/>
      </c>
      <c r="T61" s="14" t="str">
        <f t="shared" si="3"/>
        <v/>
      </c>
      <c r="U61" s="14" t="str">
        <f t="shared" si="4"/>
        <v/>
      </c>
      <c r="V61" s="14" t="str">
        <f t="shared" si="5"/>
        <v/>
      </c>
    </row>
    <row r="62" spans="1:22" x14ac:dyDescent="0.25">
      <c r="A62" s="13">
        <f>'Preencher pelo celular'!A350</f>
        <v>46348</v>
      </c>
      <c r="B62" s="11" t="str">
        <f>IF('Preencher pelo celular'!C350="","",'Preencher pelo celular'!C350)</f>
        <v/>
      </c>
      <c r="C62" s="11" t="str">
        <f>IF('Preencher pelo celular'!D350="","",'Preencher pelo celular'!D350)</f>
        <v/>
      </c>
      <c r="D62" s="11" t="str">
        <f>IF('Preencher pelo celular'!F350="","",'Preencher pelo celular'!F350)</f>
        <v/>
      </c>
      <c r="E62" s="11" t="str">
        <f>IF('Preencher pelo celular'!C351="","",'Preencher pelo celular'!C351)</f>
        <v/>
      </c>
      <c r="F62" s="11" t="str">
        <f>IF('Preencher pelo celular'!D351="","",'Preencher pelo celular'!D351)</f>
        <v/>
      </c>
      <c r="G62" s="11" t="str">
        <f>IF('Preencher pelo celular'!F351="","",'Preencher pelo celular'!F351)</f>
        <v/>
      </c>
      <c r="H62" s="11" t="str">
        <f>IF('Preencher pelo celular'!C352="","",'Preencher pelo celular'!C352)</f>
        <v/>
      </c>
      <c r="I62" s="11" t="str">
        <f>IF('Preencher pelo celular'!D352="","",'Preencher pelo celular'!D352)</f>
        <v/>
      </c>
      <c r="J62" s="11" t="str">
        <f>IF('Preencher pelo celular'!F352="","",'Preencher pelo celular'!F352)</f>
        <v/>
      </c>
      <c r="K62" s="11" t="str">
        <f>IF('Preencher pelo celular'!C353="","",'Preencher pelo celular'!C353)</f>
        <v/>
      </c>
      <c r="L62" s="11" t="str">
        <f>IF('Preencher pelo celular'!D353="","",'Preencher pelo celular'!D353)</f>
        <v/>
      </c>
      <c r="M62" s="11" t="str">
        <f>IF('Preencher pelo celular'!F353="","",'Preencher pelo celular'!F353)</f>
        <v/>
      </c>
      <c r="N62" s="11" t="str">
        <f>IF('Preencher pelo celular'!C354="","",'Preencher pelo celular'!C354)</f>
        <v/>
      </c>
      <c r="O62" s="11" t="str">
        <f>IF('Preencher pelo celular'!D354="","",'Preencher pelo celular'!D354)</f>
        <v/>
      </c>
      <c r="P62" s="11" t="str">
        <f>IF('Preencher pelo celular'!F354="","",'Preencher pelo celular'!F354)</f>
        <v/>
      </c>
      <c r="Q62" s="11" t="str">
        <f>IF('Preencher pelo celular'!C355="","",'Preencher pelo celular'!C355)</f>
        <v/>
      </c>
      <c r="R62" s="11" t="str">
        <f>IF('Preencher pelo celular'!D355="","",'Preencher pelo celular'!D355)</f>
        <v/>
      </c>
      <c r="S62" s="11" t="str">
        <f>IF('Preencher pelo celular'!F355="","",'Preencher pelo celular'!F355)</f>
        <v/>
      </c>
      <c r="T62" s="14" t="str">
        <f t="shared" si="3"/>
        <v/>
      </c>
      <c r="U62" s="14" t="str">
        <f t="shared" si="4"/>
        <v/>
      </c>
      <c r="V62" s="14" t="str">
        <f t="shared" si="5"/>
        <v/>
      </c>
    </row>
    <row r="63" spans="1:22" x14ac:dyDescent="0.25">
      <c r="A63" s="15">
        <f>'Preencher pelo celular'!A356</f>
        <v>46349</v>
      </c>
      <c r="B63" s="16" t="str">
        <f>IF('Preencher pelo celular'!C356="","",'Preencher pelo celular'!C356)</f>
        <v/>
      </c>
      <c r="C63" s="16" t="str">
        <f>IF('Preencher pelo celular'!D356="","",'Preencher pelo celular'!D356)</f>
        <v/>
      </c>
      <c r="D63" s="16" t="str">
        <f>IF('Preencher pelo celular'!F356="","",'Preencher pelo celular'!F356)</f>
        <v/>
      </c>
      <c r="E63" s="16" t="str">
        <f>IF('Preencher pelo celular'!C357="","",'Preencher pelo celular'!C357)</f>
        <v/>
      </c>
      <c r="F63" s="16" t="str">
        <f>IF('Preencher pelo celular'!D357="","",'Preencher pelo celular'!D357)</f>
        <v/>
      </c>
      <c r="G63" s="16" t="str">
        <f>IF('Preencher pelo celular'!F357="","",'Preencher pelo celular'!F357)</f>
        <v/>
      </c>
      <c r="H63" s="16" t="str">
        <f>IF('Preencher pelo celular'!C358="","",'Preencher pelo celular'!C358)</f>
        <v/>
      </c>
      <c r="I63" s="16" t="str">
        <f>IF('Preencher pelo celular'!D358="","",'Preencher pelo celular'!D358)</f>
        <v/>
      </c>
      <c r="J63" s="16" t="str">
        <f>IF('Preencher pelo celular'!F358="","",'Preencher pelo celular'!F358)</f>
        <v/>
      </c>
      <c r="K63" s="16" t="str">
        <f>IF('Preencher pelo celular'!C359="","",'Preencher pelo celular'!C359)</f>
        <v/>
      </c>
      <c r="L63" s="16" t="str">
        <f>IF('Preencher pelo celular'!D359="","",'Preencher pelo celular'!D359)</f>
        <v/>
      </c>
      <c r="M63" s="16" t="str">
        <f>IF('Preencher pelo celular'!F359="","",'Preencher pelo celular'!F359)</f>
        <v/>
      </c>
      <c r="N63" s="16" t="str">
        <f>IF('Preencher pelo celular'!C360="","",'Preencher pelo celular'!C360)</f>
        <v/>
      </c>
      <c r="O63" s="16" t="str">
        <f>IF('Preencher pelo celular'!D360="","",'Preencher pelo celular'!D360)</f>
        <v/>
      </c>
      <c r="P63" s="16" t="str">
        <f>IF('Preencher pelo celular'!F360="","",'Preencher pelo celular'!F360)</f>
        <v/>
      </c>
      <c r="Q63" s="16" t="str">
        <f>IF('Preencher pelo celular'!C361="","",'Preencher pelo celular'!C361)</f>
        <v/>
      </c>
      <c r="R63" s="16" t="str">
        <f>IF('Preencher pelo celular'!D361="","",'Preencher pelo celular'!D361)</f>
        <v/>
      </c>
      <c r="S63" s="16" t="str">
        <f>IF('Preencher pelo celular'!F361="","",'Preencher pelo celular'!F361)</f>
        <v/>
      </c>
      <c r="T63" s="14" t="str">
        <f t="shared" si="3"/>
        <v/>
      </c>
      <c r="U63" s="14" t="str">
        <f t="shared" si="4"/>
        <v/>
      </c>
      <c r="V63" s="14" t="str">
        <f t="shared" si="5"/>
        <v/>
      </c>
    </row>
    <row r="64" spans="1:22" x14ac:dyDescent="0.25">
      <c r="A64" s="13">
        <f>'Preencher pelo celular'!A362</f>
        <v>46350</v>
      </c>
      <c r="B64" s="11" t="str">
        <f>IF('Preencher pelo celular'!C362="","",'Preencher pelo celular'!C362)</f>
        <v/>
      </c>
      <c r="C64" s="11" t="str">
        <f>IF('Preencher pelo celular'!D362="","",'Preencher pelo celular'!D362)</f>
        <v/>
      </c>
      <c r="D64" s="11" t="str">
        <f>IF('Preencher pelo celular'!F362="","",'Preencher pelo celular'!F362)</f>
        <v/>
      </c>
      <c r="E64" s="11" t="str">
        <f>IF('Preencher pelo celular'!C363="","",'Preencher pelo celular'!C363)</f>
        <v/>
      </c>
      <c r="F64" s="11" t="str">
        <f>IF('Preencher pelo celular'!D363="","",'Preencher pelo celular'!D363)</f>
        <v/>
      </c>
      <c r="G64" s="11" t="str">
        <f>IF('Preencher pelo celular'!F363="","",'Preencher pelo celular'!F363)</f>
        <v/>
      </c>
      <c r="H64" s="11" t="str">
        <f>IF('Preencher pelo celular'!C364="","",'Preencher pelo celular'!C364)</f>
        <v/>
      </c>
      <c r="I64" s="11" t="str">
        <f>IF('Preencher pelo celular'!D364="","",'Preencher pelo celular'!D364)</f>
        <v/>
      </c>
      <c r="J64" s="11" t="str">
        <f>IF('Preencher pelo celular'!F364="","",'Preencher pelo celular'!F364)</f>
        <v/>
      </c>
      <c r="K64" s="11" t="str">
        <f>IF('Preencher pelo celular'!C365="","",'Preencher pelo celular'!C365)</f>
        <v/>
      </c>
      <c r="L64" s="11" t="str">
        <f>IF('Preencher pelo celular'!D365="","",'Preencher pelo celular'!D365)</f>
        <v/>
      </c>
      <c r="M64" s="11" t="str">
        <f>IF('Preencher pelo celular'!F365="","",'Preencher pelo celular'!F365)</f>
        <v/>
      </c>
      <c r="N64" s="11" t="str">
        <f>IF('Preencher pelo celular'!C366="","",'Preencher pelo celular'!C366)</f>
        <v/>
      </c>
      <c r="O64" s="11" t="str">
        <f>IF('Preencher pelo celular'!D366="","",'Preencher pelo celular'!D366)</f>
        <v/>
      </c>
      <c r="P64" s="11" t="str">
        <f>IF('Preencher pelo celular'!F366="","",'Preencher pelo celular'!F366)</f>
        <v/>
      </c>
      <c r="Q64" s="11" t="str">
        <f>IF('Preencher pelo celular'!C367="","",'Preencher pelo celular'!C367)</f>
        <v/>
      </c>
      <c r="R64" s="11" t="str">
        <f>IF('Preencher pelo celular'!D367="","",'Preencher pelo celular'!D367)</f>
        <v/>
      </c>
      <c r="S64" s="11" t="str">
        <f>IF('Preencher pelo celular'!F367="","",'Preencher pelo celular'!F367)</f>
        <v/>
      </c>
      <c r="T64" s="14" t="str">
        <f t="shared" si="3"/>
        <v/>
      </c>
      <c r="U64" s="14" t="str">
        <f t="shared" si="4"/>
        <v/>
      </c>
      <c r="V64" s="14" t="str">
        <f t="shared" si="5"/>
        <v/>
      </c>
    </row>
    <row r="65" spans="1:22" x14ac:dyDescent="0.25">
      <c r="A65" s="15">
        <f>'Preencher pelo celular'!A368</f>
        <v>46351</v>
      </c>
      <c r="B65" s="16" t="str">
        <f>IF('Preencher pelo celular'!C368="","",'Preencher pelo celular'!C368)</f>
        <v/>
      </c>
      <c r="C65" s="16" t="str">
        <f>IF('Preencher pelo celular'!D368="","",'Preencher pelo celular'!D368)</f>
        <v/>
      </c>
      <c r="D65" s="16" t="str">
        <f>IF('Preencher pelo celular'!F368="","",'Preencher pelo celular'!F368)</f>
        <v/>
      </c>
      <c r="E65" s="16" t="str">
        <f>IF('Preencher pelo celular'!C369="","",'Preencher pelo celular'!C369)</f>
        <v/>
      </c>
      <c r="F65" s="16" t="str">
        <f>IF('Preencher pelo celular'!D369="","",'Preencher pelo celular'!D369)</f>
        <v/>
      </c>
      <c r="G65" s="16" t="str">
        <f>IF('Preencher pelo celular'!F369="","",'Preencher pelo celular'!F369)</f>
        <v/>
      </c>
      <c r="H65" s="16" t="str">
        <f>IF('Preencher pelo celular'!C370="","",'Preencher pelo celular'!C370)</f>
        <v/>
      </c>
      <c r="I65" s="16" t="str">
        <f>IF('Preencher pelo celular'!D370="","",'Preencher pelo celular'!D370)</f>
        <v/>
      </c>
      <c r="J65" s="16" t="str">
        <f>IF('Preencher pelo celular'!F370="","",'Preencher pelo celular'!F370)</f>
        <v/>
      </c>
      <c r="K65" s="16" t="str">
        <f>IF('Preencher pelo celular'!C371="","",'Preencher pelo celular'!C371)</f>
        <v/>
      </c>
      <c r="L65" s="16" t="str">
        <f>IF('Preencher pelo celular'!D371="","",'Preencher pelo celular'!D371)</f>
        <v/>
      </c>
      <c r="M65" s="16" t="str">
        <f>IF('Preencher pelo celular'!F371="","",'Preencher pelo celular'!F371)</f>
        <v/>
      </c>
      <c r="N65" s="16" t="str">
        <f>IF('Preencher pelo celular'!C372="","",'Preencher pelo celular'!C372)</f>
        <v/>
      </c>
      <c r="O65" s="16" t="str">
        <f>IF('Preencher pelo celular'!D372="","",'Preencher pelo celular'!D372)</f>
        <v/>
      </c>
      <c r="P65" s="16" t="str">
        <f>IF('Preencher pelo celular'!F372="","",'Preencher pelo celular'!F372)</f>
        <v/>
      </c>
      <c r="Q65" s="16" t="str">
        <f>IF('Preencher pelo celular'!C373="","",'Preencher pelo celular'!C373)</f>
        <v/>
      </c>
      <c r="R65" s="16" t="str">
        <f>IF('Preencher pelo celular'!D373="","",'Preencher pelo celular'!D373)</f>
        <v/>
      </c>
      <c r="S65" s="16" t="str">
        <f>IF('Preencher pelo celular'!F373="","",'Preencher pelo celular'!F373)</f>
        <v/>
      </c>
      <c r="T65" s="14" t="str">
        <f t="shared" si="3"/>
        <v/>
      </c>
      <c r="U65" s="14" t="str">
        <f t="shared" si="4"/>
        <v/>
      </c>
      <c r="V65" s="14" t="str">
        <f t="shared" si="5"/>
        <v/>
      </c>
    </row>
    <row r="66" spans="1:22" x14ac:dyDescent="0.25">
      <c r="A66" s="13">
        <f>'Preencher pelo celular'!A374</f>
        <v>46352</v>
      </c>
      <c r="B66" s="11" t="str">
        <f>IF('Preencher pelo celular'!C374="","",'Preencher pelo celular'!C374)</f>
        <v/>
      </c>
      <c r="C66" s="11" t="str">
        <f>IF('Preencher pelo celular'!D374="","",'Preencher pelo celular'!D374)</f>
        <v/>
      </c>
      <c r="D66" s="11" t="str">
        <f>IF('Preencher pelo celular'!F374="","",'Preencher pelo celular'!F374)</f>
        <v/>
      </c>
      <c r="E66" s="11" t="str">
        <f>IF('Preencher pelo celular'!C375="","",'Preencher pelo celular'!C375)</f>
        <v/>
      </c>
      <c r="F66" s="11" t="str">
        <f>IF('Preencher pelo celular'!D375="","",'Preencher pelo celular'!D375)</f>
        <v/>
      </c>
      <c r="G66" s="11" t="str">
        <f>IF('Preencher pelo celular'!F375="","",'Preencher pelo celular'!F375)</f>
        <v/>
      </c>
      <c r="H66" s="11" t="str">
        <f>IF('Preencher pelo celular'!C376="","",'Preencher pelo celular'!C376)</f>
        <v/>
      </c>
      <c r="I66" s="11" t="str">
        <f>IF('Preencher pelo celular'!D376="","",'Preencher pelo celular'!D376)</f>
        <v/>
      </c>
      <c r="J66" s="11" t="str">
        <f>IF('Preencher pelo celular'!F376="","",'Preencher pelo celular'!F376)</f>
        <v/>
      </c>
      <c r="K66" s="11" t="str">
        <f>IF('Preencher pelo celular'!C377="","",'Preencher pelo celular'!C377)</f>
        <v/>
      </c>
      <c r="L66" s="11" t="str">
        <f>IF('Preencher pelo celular'!D377="","",'Preencher pelo celular'!D377)</f>
        <v/>
      </c>
      <c r="M66" s="11" t="str">
        <f>IF('Preencher pelo celular'!F377="","",'Preencher pelo celular'!F377)</f>
        <v/>
      </c>
      <c r="N66" s="11" t="str">
        <f>IF('Preencher pelo celular'!C378="","",'Preencher pelo celular'!C378)</f>
        <v/>
      </c>
      <c r="O66" s="11" t="str">
        <f>IF('Preencher pelo celular'!D378="","",'Preencher pelo celular'!D378)</f>
        <v/>
      </c>
      <c r="P66" s="11" t="str">
        <f>IF('Preencher pelo celular'!F378="","",'Preencher pelo celular'!F378)</f>
        <v/>
      </c>
      <c r="Q66" s="11" t="str">
        <f>IF('Preencher pelo celular'!C379="","",'Preencher pelo celular'!C379)</f>
        <v/>
      </c>
      <c r="R66" s="11" t="str">
        <f>IF('Preencher pelo celular'!D379="","",'Preencher pelo celular'!D379)</f>
        <v/>
      </c>
      <c r="S66" s="11" t="str">
        <f>IF('Preencher pelo celular'!F379="","",'Preencher pelo celular'!F379)</f>
        <v/>
      </c>
      <c r="T66" s="14" t="str">
        <f t="shared" si="3"/>
        <v/>
      </c>
      <c r="U66" s="14" t="str">
        <f t="shared" si="4"/>
        <v/>
      </c>
      <c r="V66" s="14" t="str">
        <f t="shared" si="5"/>
        <v/>
      </c>
    </row>
    <row r="67" spans="1:22" x14ac:dyDescent="0.25">
      <c r="A67" s="15">
        <f>'Preencher pelo celular'!A380</f>
        <v>46353</v>
      </c>
      <c r="B67" s="16" t="str">
        <f>IF('Preencher pelo celular'!C380="","",'Preencher pelo celular'!C380)</f>
        <v/>
      </c>
      <c r="C67" s="16" t="str">
        <f>IF('Preencher pelo celular'!D380="","",'Preencher pelo celular'!D380)</f>
        <v/>
      </c>
      <c r="D67" s="16" t="str">
        <f>IF('Preencher pelo celular'!F380="","",'Preencher pelo celular'!F380)</f>
        <v/>
      </c>
      <c r="E67" s="16" t="str">
        <f>IF('Preencher pelo celular'!C381="","",'Preencher pelo celular'!C381)</f>
        <v/>
      </c>
      <c r="F67" s="16" t="str">
        <f>IF('Preencher pelo celular'!D381="","",'Preencher pelo celular'!D381)</f>
        <v/>
      </c>
      <c r="G67" s="16" t="str">
        <f>IF('Preencher pelo celular'!F381="","",'Preencher pelo celular'!F381)</f>
        <v/>
      </c>
      <c r="H67" s="16" t="str">
        <f>IF('Preencher pelo celular'!C382="","",'Preencher pelo celular'!C382)</f>
        <v/>
      </c>
      <c r="I67" s="16" t="str">
        <f>IF('Preencher pelo celular'!D382="","",'Preencher pelo celular'!D382)</f>
        <v/>
      </c>
      <c r="J67" s="16" t="str">
        <f>IF('Preencher pelo celular'!F382="","",'Preencher pelo celular'!F382)</f>
        <v/>
      </c>
      <c r="K67" s="16" t="str">
        <f>IF('Preencher pelo celular'!C383="","",'Preencher pelo celular'!C383)</f>
        <v/>
      </c>
      <c r="L67" s="16" t="str">
        <f>IF('Preencher pelo celular'!D383="","",'Preencher pelo celular'!D383)</f>
        <v/>
      </c>
      <c r="M67" s="16" t="str">
        <f>IF('Preencher pelo celular'!F383="","",'Preencher pelo celular'!F383)</f>
        <v/>
      </c>
      <c r="N67" s="16" t="str">
        <f>IF('Preencher pelo celular'!C384="","",'Preencher pelo celular'!C384)</f>
        <v/>
      </c>
      <c r="O67" s="16" t="str">
        <f>IF('Preencher pelo celular'!D384="","",'Preencher pelo celular'!D384)</f>
        <v/>
      </c>
      <c r="P67" s="16" t="str">
        <f>IF('Preencher pelo celular'!F384="","",'Preencher pelo celular'!F384)</f>
        <v/>
      </c>
      <c r="Q67" s="16" t="str">
        <f>IF('Preencher pelo celular'!C385="","",'Preencher pelo celular'!C385)</f>
        <v/>
      </c>
      <c r="R67" s="16" t="str">
        <f>IF('Preencher pelo celular'!D385="","",'Preencher pelo celular'!D385)</f>
        <v/>
      </c>
      <c r="S67" s="16" t="str">
        <f>IF('Preencher pelo celular'!F385="","",'Preencher pelo celular'!F385)</f>
        <v/>
      </c>
      <c r="T67" s="14" t="str">
        <f t="shared" si="3"/>
        <v/>
      </c>
      <c r="U67" s="14" t="str">
        <f t="shared" si="4"/>
        <v/>
      </c>
      <c r="V67" s="14" t="str">
        <f t="shared" si="5"/>
        <v/>
      </c>
    </row>
    <row r="68" spans="1:22" x14ac:dyDescent="0.25">
      <c r="A68" s="13">
        <f>'Preencher pelo celular'!A386</f>
        <v>46354</v>
      </c>
      <c r="B68" s="11" t="str">
        <f>IF('Preencher pelo celular'!C386="","",'Preencher pelo celular'!C386)</f>
        <v/>
      </c>
      <c r="C68" s="11" t="str">
        <f>IF('Preencher pelo celular'!D386="","",'Preencher pelo celular'!D386)</f>
        <v/>
      </c>
      <c r="D68" s="11" t="str">
        <f>IF('Preencher pelo celular'!F386="","",'Preencher pelo celular'!F386)</f>
        <v/>
      </c>
      <c r="E68" s="11" t="str">
        <f>IF('Preencher pelo celular'!C387="","",'Preencher pelo celular'!C387)</f>
        <v/>
      </c>
      <c r="F68" s="11" t="str">
        <f>IF('Preencher pelo celular'!D387="","",'Preencher pelo celular'!D387)</f>
        <v/>
      </c>
      <c r="G68" s="11" t="str">
        <f>IF('Preencher pelo celular'!F387="","",'Preencher pelo celular'!F387)</f>
        <v/>
      </c>
      <c r="H68" s="11" t="str">
        <f>IF('Preencher pelo celular'!C388="","",'Preencher pelo celular'!C388)</f>
        <v/>
      </c>
      <c r="I68" s="11" t="str">
        <f>IF('Preencher pelo celular'!D388="","",'Preencher pelo celular'!D388)</f>
        <v/>
      </c>
      <c r="J68" s="11" t="str">
        <f>IF('Preencher pelo celular'!F388="","",'Preencher pelo celular'!F388)</f>
        <v/>
      </c>
      <c r="K68" s="11" t="str">
        <f>IF('Preencher pelo celular'!C389="","",'Preencher pelo celular'!C389)</f>
        <v/>
      </c>
      <c r="L68" s="11" t="str">
        <f>IF('Preencher pelo celular'!D389="","",'Preencher pelo celular'!D389)</f>
        <v/>
      </c>
      <c r="M68" s="11" t="str">
        <f>IF('Preencher pelo celular'!F389="","",'Preencher pelo celular'!F389)</f>
        <v/>
      </c>
      <c r="N68" s="11" t="str">
        <f>IF('Preencher pelo celular'!C390="","",'Preencher pelo celular'!C390)</f>
        <v/>
      </c>
      <c r="O68" s="11" t="str">
        <f>IF('Preencher pelo celular'!D390="","",'Preencher pelo celular'!D390)</f>
        <v/>
      </c>
      <c r="P68" s="11" t="str">
        <f>IF('Preencher pelo celular'!F390="","",'Preencher pelo celular'!F390)</f>
        <v/>
      </c>
      <c r="Q68" s="11" t="str">
        <f>IF('Preencher pelo celular'!C391="","",'Preencher pelo celular'!C391)</f>
        <v/>
      </c>
      <c r="R68" s="11" t="str">
        <f>IF('Preencher pelo celular'!D391="","",'Preencher pelo celular'!D391)</f>
        <v/>
      </c>
      <c r="S68" s="11" t="str">
        <f>IF('Preencher pelo celular'!F391="","",'Preencher pelo celular'!F391)</f>
        <v/>
      </c>
      <c r="T68" s="14" t="str">
        <f t="shared" ref="T68:T93" si="6">IF(COUNT(B68,E68,H68,K68,N68,Q68)=0,"",AVERAGE(B68,E68,H68,K68,N68,Q68))</f>
        <v/>
      </c>
      <c r="U68" s="14" t="str">
        <f t="shared" ref="U68:U93" si="7">IF(COUNT(D68,G68,J68,M68,P68,S68)=0,"",AVERAGE(D68,G68,J68,M68,P68,S68))</f>
        <v/>
      </c>
      <c r="V68" s="14" t="str">
        <f t="shared" ref="V68:V93" si="8">IF(COUNT(C68,F68,I68,L68,O68,R68)=0,"",SUM(C68,F68,I68,L68,O68,R68))</f>
        <v/>
      </c>
    </row>
    <row r="69" spans="1:22" x14ac:dyDescent="0.25">
      <c r="A69" s="15">
        <f>'Preencher pelo celular'!A392</f>
        <v>46355</v>
      </c>
      <c r="B69" s="16" t="str">
        <f>IF('Preencher pelo celular'!C392="","",'Preencher pelo celular'!C392)</f>
        <v/>
      </c>
      <c r="C69" s="16" t="str">
        <f>IF('Preencher pelo celular'!D392="","",'Preencher pelo celular'!D392)</f>
        <v/>
      </c>
      <c r="D69" s="16" t="str">
        <f>IF('Preencher pelo celular'!F392="","",'Preencher pelo celular'!F392)</f>
        <v/>
      </c>
      <c r="E69" s="16" t="str">
        <f>IF('Preencher pelo celular'!C393="","",'Preencher pelo celular'!C393)</f>
        <v/>
      </c>
      <c r="F69" s="16" t="str">
        <f>IF('Preencher pelo celular'!D393="","",'Preencher pelo celular'!D393)</f>
        <v/>
      </c>
      <c r="G69" s="16" t="str">
        <f>IF('Preencher pelo celular'!F393="","",'Preencher pelo celular'!F393)</f>
        <v/>
      </c>
      <c r="H69" s="16" t="str">
        <f>IF('Preencher pelo celular'!C394="","",'Preencher pelo celular'!C394)</f>
        <v/>
      </c>
      <c r="I69" s="16" t="str">
        <f>IF('Preencher pelo celular'!D394="","",'Preencher pelo celular'!D394)</f>
        <v/>
      </c>
      <c r="J69" s="16" t="str">
        <f>IF('Preencher pelo celular'!F394="","",'Preencher pelo celular'!F394)</f>
        <v/>
      </c>
      <c r="K69" s="16" t="str">
        <f>IF('Preencher pelo celular'!C395="","",'Preencher pelo celular'!C395)</f>
        <v/>
      </c>
      <c r="L69" s="16" t="str">
        <f>IF('Preencher pelo celular'!D395="","",'Preencher pelo celular'!D395)</f>
        <v/>
      </c>
      <c r="M69" s="16" t="str">
        <f>IF('Preencher pelo celular'!F395="","",'Preencher pelo celular'!F395)</f>
        <v/>
      </c>
      <c r="N69" s="16" t="str">
        <f>IF('Preencher pelo celular'!C396="","",'Preencher pelo celular'!C396)</f>
        <v/>
      </c>
      <c r="O69" s="16" t="str">
        <f>IF('Preencher pelo celular'!D396="","",'Preencher pelo celular'!D396)</f>
        <v/>
      </c>
      <c r="P69" s="16" t="str">
        <f>IF('Preencher pelo celular'!F396="","",'Preencher pelo celular'!F396)</f>
        <v/>
      </c>
      <c r="Q69" s="16" t="str">
        <f>IF('Preencher pelo celular'!C397="","",'Preencher pelo celular'!C397)</f>
        <v/>
      </c>
      <c r="R69" s="16" t="str">
        <f>IF('Preencher pelo celular'!D397="","",'Preencher pelo celular'!D397)</f>
        <v/>
      </c>
      <c r="S69" s="16" t="str">
        <f>IF('Preencher pelo celular'!F397="","",'Preencher pelo celular'!F397)</f>
        <v/>
      </c>
      <c r="T69" s="14" t="str">
        <f t="shared" si="6"/>
        <v/>
      </c>
      <c r="U69" s="14" t="str">
        <f t="shared" si="7"/>
        <v/>
      </c>
      <c r="V69" s="14" t="str">
        <f t="shared" si="8"/>
        <v/>
      </c>
    </row>
    <row r="70" spans="1:22" x14ac:dyDescent="0.25">
      <c r="A70" s="13">
        <f>'Preencher pelo celular'!A398</f>
        <v>46356</v>
      </c>
      <c r="B70" s="11" t="str">
        <f>IF('Preencher pelo celular'!C398="","",'Preencher pelo celular'!C398)</f>
        <v/>
      </c>
      <c r="C70" s="11" t="str">
        <f>IF('Preencher pelo celular'!D398="","",'Preencher pelo celular'!D398)</f>
        <v/>
      </c>
      <c r="D70" s="11" t="str">
        <f>IF('Preencher pelo celular'!F398="","",'Preencher pelo celular'!F398)</f>
        <v/>
      </c>
      <c r="E70" s="11" t="str">
        <f>IF('Preencher pelo celular'!C399="","",'Preencher pelo celular'!C399)</f>
        <v/>
      </c>
      <c r="F70" s="11" t="str">
        <f>IF('Preencher pelo celular'!D399="","",'Preencher pelo celular'!D399)</f>
        <v/>
      </c>
      <c r="G70" s="11" t="str">
        <f>IF('Preencher pelo celular'!F399="","",'Preencher pelo celular'!F399)</f>
        <v/>
      </c>
      <c r="H70" s="11" t="str">
        <f>IF('Preencher pelo celular'!C400="","",'Preencher pelo celular'!C400)</f>
        <v/>
      </c>
      <c r="I70" s="11" t="str">
        <f>IF('Preencher pelo celular'!D400="","",'Preencher pelo celular'!D400)</f>
        <v/>
      </c>
      <c r="J70" s="11" t="str">
        <f>IF('Preencher pelo celular'!F400="","",'Preencher pelo celular'!F400)</f>
        <v/>
      </c>
      <c r="K70" s="11" t="str">
        <f>IF('Preencher pelo celular'!C401="","",'Preencher pelo celular'!C401)</f>
        <v/>
      </c>
      <c r="L70" s="11" t="str">
        <f>IF('Preencher pelo celular'!D401="","",'Preencher pelo celular'!D401)</f>
        <v/>
      </c>
      <c r="M70" s="11" t="str">
        <f>IF('Preencher pelo celular'!F401="","",'Preencher pelo celular'!F401)</f>
        <v/>
      </c>
      <c r="N70" s="11" t="str">
        <f>IF('Preencher pelo celular'!C402="","",'Preencher pelo celular'!C402)</f>
        <v/>
      </c>
      <c r="O70" s="11" t="str">
        <f>IF('Preencher pelo celular'!D402="","",'Preencher pelo celular'!D402)</f>
        <v/>
      </c>
      <c r="P70" s="11" t="str">
        <f>IF('Preencher pelo celular'!F402="","",'Preencher pelo celular'!F402)</f>
        <v/>
      </c>
      <c r="Q70" s="11" t="str">
        <f>IF('Preencher pelo celular'!C403="","",'Preencher pelo celular'!C403)</f>
        <v/>
      </c>
      <c r="R70" s="11" t="str">
        <f>IF('Preencher pelo celular'!D403="","",'Preencher pelo celular'!D403)</f>
        <v/>
      </c>
      <c r="S70" s="11" t="str">
        <f>IF('Preencher pelo celular'!F403="","",'Preencher pelo celular'!F403)</f>
        <v/>
      </c>
      <c r="T70" s="14" t="str">
        <f t="shared" si="6"/>
        <v/>
      </c>
      <c r="U70" s="14" t="str">
        <f t="shared" si="7"/>
        <v/>
      </c>
      <c r="V70" s="14" t="str">
        <f t="shared" si="8"/>
        <v/>
      </c>
    </row>
    <row r="71" spans="1:22" x14ac:dyDescent="0.25">
      <c r="A71" s="15">
        <f>'Preencher pelo celular'!A404</f>
        <v>46357</v>
      </c>
      <c r="B71" s="16" t="str">
        <f>IF('Preencher pelo celular'!C404="","",'Preencher pelo celular'!C404)</f>
        <v/>
      </c>
      <c r="C71" s="16" t="str">
        <f>IF('Preencher pelo celular'!D404="","",'Preencher pelo celular'!D404)</f>
        <v/>
      </c>
      <c r="D71" s="16" t="str">
        <f>IF('Preencher pelo celular'!F404="","",'Preencher pelo celular'!F404)</f>
        <v/>
      </c>
      <c r="E71" s="16" t="str">
        <f>IF('Preencher pelo celular'!C405="","",'Preencher pelo celular'!C405)</f>
        <v/>
      </c>
      <c r="F71" s="16" t="str">
        <f>IF('Preencher pelo celular'!D405="","",'Preencher pelo celular'!D405)</f>
        <v/>
      </c>
      <c r="G71" s="16" t="str">
        <f>IF('Preencher pelo celular'!F405="","",'Preencher pelo celular'!F405)</f>
        <v/>
      </c>
      <c r="H71" s="16" t="str">
        <f>IF('Preencher pelo celular'!C406="","",'Preencher pelo celular'!C406)</f>
        <v/>
      </c>
      <c r="I71" s="16" t="str">
        <f>IF('Preencher pelo celular'!D406="","",'Preencher pelo celular'!D406)</f>
        <v/>
      </c>
      <c r="J71" s="16" t="str">
        <f>IF('Preencher pelo celular'!F406="","",'Preencher pelo celular'!F406)</f>
        <v/>
      </c>
      <c r="K71" s="16" t="str">
        <f>IF('Preencher pelo celular'!C407="","",'Preencher pelo celular'!C407)</f>
        <v/>
      </c>
      <c r="L71" s="16" t="str">
        <f>IF('Preencher pelo celular'!D407="","",'Preencher pelo celular'!D407)</f>
        <v/>
      </c>
      <c r="M71" s="16" t="str">
        <f>IF('Preencher pelo celular'!F407="","",'Preencher pelo celular'!F407)</f>
        <v/>
      </c>
      <c r="N71" s="16" t="str">
        <f>IF('Preencher pelo celular'!C408="","",'Preencher pelo celular'!C408)</f>
        <v/>
      </c>
      <c r="O71" s="16" t="str">
        <f>IF('Preencher pelo celular'!D408="","",'Preencher pelo celular'!D408)</f>
        <v/>
      </c>
      <c r="P71" s="16" t="str">
        <f>IF('Preencher pelo celular'!F408="","",'Preencher pelo celular'!F408)</f>
        <v/>
      </c>
      <c r="Q71" s="16" t="str">
        <f>IF('Preencher pelo celular'!C409="","",'Preencher pelo celular'!C409)</f>
        <v/>
      </c>
      <c r="R71" s="16" t="str">
        <f>IF('Preencher pelo celular'!D409="","",'Preencher pelo celular'!D409)</f>
        <v/>
      </c>
      <c r="S71" s="16" t="str">
        <f>IF('Preencher pelo celular'!F409="","",'Preencher pelo celular'!F409)</f>
        <v/>
      </c>
      <c r="T71" s="14" t="str">
        <f t="shared" si="6"/>
        <v/>
      </c>
      <c r="U71" s="14" t="str">
        <f t="shared" si="7"/>
        <v/>
      </c>
      <c r="V71" s="14" t="str">
        <f t="shared" si="8"/>
        <v/>
      </c>
    </row>
    <row r="72" spans="1:22" x14ac:dyDescent="0.25">
      <c r="A72" s="13">
        <f>'Preencher pelo celular'!A410</f>
        <v>46358</v>
      </c>
      <c r="B72" s="11" t="str">
        <f>IF('Preencher pelo celular'!C410="","",'Preencher pelo celular'!C410)</f>
        <v/>
      </c>
      <c r="C72" s="11" t="str">
        <f>IF('Preencher pelo celular'!D410="","",'Preencher pelo celular'!D410)</f>
        <v/>
      </c>
      <c r="D72" s="11" t="str">
        <f>IF('Preencher pelo celular'!F410="","",'Preencher pelo celular'!F410)</f>
        <v/>
      </c>
      <c r="E72" s="11" t="str">
        <f>IF('Preencher pelo celular'!C411="","",'Preencher pelo celular'!C411)</f>
        <v/>
      </c>
      <c r="F72" s="11" t="str">
        <f>IF('Preencher pelo celular'!D411="","",'Preencher pelo celular'!D411)</f>
        <v/>
      </c>
      <c r="G72" s="11" t="str">
        <f>IF('Preencher pelo celular'!F411="","",'Preencher pelo celular'!F411)</f>
        <v/>
      </c>
      <c r="H72" s="11" t="str">
        <f>IF('Preencher pelo celular'!C412="","",'Preencher pelo celular'!C412)</f>
        <v/>
      </c>
      <c r="I72" s="11" t="str">
        <f>IF('Preencher pelo celular'!D412="","",'Preencher pelo celular'!D412)</f>
        <v/>
      </c>
      <c r="J72" s="11" t="str">
        <f>IF('Preencher pelo celular'!F412="","",'Preencher pelo celular'!F412)</f>
        <v/>
      </c>
      <c r="K72" s="11" t="str">
        <f>IF('Preencher pelo celular'!C413="","",'Preencher pelo celular'!C413)</f>
        <v/>
      </c>
      <c r="L72" s="11" t="str">
        <f>IF('Preencher pelo celular'!D413="","",'Preencher pelo celular'!D413)</f>
        <v/>
      </c>
      <c r="M72" s="11" t="str">
        <f>IF('Preencher pelo celular'!F413="","",'Preencher pelo celular'!F413)</f>
        <v/>
      </c>
      <c r="N72" s="11" t="str">
        <f>IF('Preencher pelo celular'!C414="","",'Preencher pelo celular'!C414)</f>
        <v/>
      </c>
      <c r="O72" s="11" t="str">
        <f>IF('Preencher pelo celular'!D414="","",'Preencher pelo celular'!D414)</f>
        <v/>
      </c>
      <c r="P72" s="11" t="str">
        <f>IF('Preencher pelo celular'!F414="","",'Preencher pelo celular'!F414)</f>
        <v/>
      </c>
      <c r="Q72" s="11" t="str">
        <f>IF('Preencher pelo celular'!C415="","",'Preencher pelo celular'!C415)</f>
        <v/>
      </c>
      <c r="R72" s="11" t="str">
        <f>IF('Preencher pelo celular'!D415="","",'Preencher pelo celular'!D415)</f>
        <v/>
      </c>
      <c r="S72" s="11" t="str">
        <f>IF('Preencher pelo celular'!F415="","",'Preencher pelo celular'!F415)</f>
        <v/>
      </c>
      <c r="T72" s="14" t="str">
        <f t="shared" si="6"/>
        <v/>
      </c>
      <c r="U72" s="14" t="str">
        <f t="shared" si="7"/>
        <v/>
      </c>
      <c r="V72" s="14" t="str">
        <f t="shared" si="8"/>
        <v/>
      </c>
    </row>
    <row r="73" spans="1:22" x14ac:dyDescent="0.25">
      <c r="A73" s="15">
        <f>'Preencher pelo celular'!A416</f>
        <v>46359</v>
      </c>
      <c r="B73" s="16" t="str">
        <f>IF('Preencher pelo celular'!C416="","",'Preencher pelo celular'!C416)</f>
        <v/>
      </c>
      <c r="C73" s="16" t="str">
        <f>IF('Preencher pelo celular'!D416="","",'Preencher pelo celular'!D416)</f>
        <v/>
      </c>
      <c r="D73" s="16" t="str">
        <f>IF('Preencher pelo celular'!F416="","",'Preencher pelo celular'!F416)</f>
        <v/>
      </c>
      <c r="E73" s="16" t="str">
        <f>IF('Preencher pelo celular'!C417="","",'Preencher pelo celular'!C417)</f>
        <v/>
      </c>
      <c r="F73" s="16" t="str">
        <f>IF('Preencher pelo celular'!D417="","",'Preencher pelo celular'!D417)</f>
        <v/>
      </c>
      <c r="G73" s="16" t="str">
        <f>IF('Preencher pelo celular'!F417="","",'Preencher pelo celular'!F417)</f>
        <v/>
      </c>
      <c r="H73" s="16" t="str">
        <f>IF('Preencher pelo celular'!C418="","",'Preencher pelo celular'!C418)</f>
        <v/>
      </c>
      <c r="I73" s="16" t="str">
        <f>IF('Preencher pelo celular'!D418="","",'Preencher pelo celular'!D418)</f>
        <v/>
      </c>
      <c r="J73" s="16" t="str">
        <f>IF('Preencher pelo celular'!F418="","",'Preencher pelo celular'!F418)</f>
        <v/>
      </c>
      <c r="K73" s="16" t="str">
        <f>IF('Preencher pelo celular'!C419="","",'Preencher pelo celular'!C419)</f>
        <v/>
      </c>
      <c r="L73" s="16" t="str">
        <f>IF('Preencher pelo celular'!D419="","",'Preencher pelo celular'!D419)</f>
        <v/>
      </c>
      <c r="M73" s="16" t="str">
        <f>IF('Preencher pelo celular'!F419="","",'Preencher pelo celular'!F419)</f>
        <v/>
      </c>
      <c r="N73" s="16" t="str">
        <f>IF('Preencher pelo celular'!C420="","",'Preencher pelo celular'!C420)</f>
        <v/>
      </c>
      <c r="O73" s="16" t="str">
        <f>IF('Preencher pelo celular'!D420="","",'Preencher pelo celular'!D420)</f>
        <v/>
      </c>
      <c r="P73" s="16" t="str">
        <f>IF('Preencher pelo celular'!F420="","",'Preencher pelo celular'!F420)</f>
        <v/>
      </c>
      <c r="Q73" s="16" t="str">
        <f>IF('Preencher pelo celular'!C421="","",'Preencher pelo celular'!C421)</f>
        <v/>
      </c>
      <c r="R73" s="16" t="str">
        <f>IF('Preencher pelo celular'!D421="","",'Preencher pelo celular'!D421)</f>
        <v/>
      </c>
      <c r="S73" s="16" t="str">
        <f>IF('Preencher pelo celular'!F421="","",'Preencher pelo celular'!F421)</f>
        <v/>
      </c>
      <c r="T73" s="14" t="str">
        <f t="shared" si="6"/>
        <v/>
      </c>
      <c r="U73" s="14" t="str">
        <f t="shared" si="7"/>
        <v/>
      </c>
      <c r="V73" s="14" t="str">
        <f t="shared" si="8"/>
        <v/>
      </c>
    </row>
    <row r="74" spans="1:22" x14ac:dyDescent="0.25">
      <c r="A74" s="13">
        <f>'Preencher pelo celular'!A422</f>
        <v>46360</v>
      </c>
      <c r="B74" s="11" t="str">
        <f>IF('Preencher pelo celular'!C422="","",'Preencher pelo celular'!C422)</f>
        <v/>
      </c>
      <c r="C74" s="11" t="str">
        <f>IF('Preencher pelo celular'!D422="","",'Preencher pelo celular'!D422)</f>
        <v/>
      </c>
      <c r="D74" s="11" t="str">
        <f>IF('Preencher pelo celular'!F422="","",'Preencher pelo celular'!F422)</f>
        <v/>
      </c>
      <c r="E74" s="11" t="str">
        <f>IF('Preencher pelo celular'!C423="","",'Preencher pelo celular'!C423)</f>
        <v/>
      </c>
      <c r="F74" s="11" t="str">
        <f>IF('Preencher pelo celular'!D423="","",'Preencher pelo celular'!D423)</f>
        <v/>
      </c>
      <c r="G74" s="11" t="str">
        <f>IF('Preencher pelo celular'!F423="","",'Preencher pelo celular'!F423)</f>
        <v/>
      </c>
      <c r="H74" s="11" t="str">
        <f>IF('Preencher pelo celular'!C424="","",'Preencher pelo celular'!C424)</f>
        <v/>
      </c>
      <c r="I74" s="11" t="str">
        <f>IF('Preencher pelo celular'!D424="","",'Preencher pelo celular'!D424)</f>
        <v/>
      </c>
      <c r="J74" s="11" t="str">
        <f>IF('Preencher pelo celular'!F424="","",'Preencher pelo celular'!F424)</f>
        <v/>
      </c>
      <c r="K74" s="11" t="str">
        <f>IF('Preencher pelo celular'!C425="","",'Preencher pelo celular'!C425)</f>
        <v/>
      </c>
      <c r="L74" s="11" t="str">
        <f>IF('Preencher pelo celular'!D425="","",'Preencher pelo celular'!D425)</f>
        <v/>
      </c>
      <c r="M74" s="11" t="str">
        <f>IF('Preencher pelo celular'!F425="","",'Preencher pelo celular'!F425)</f>
        <v/>
      </c>
      <c r="N74" s="11" t="str">
        <f>IF('Preencher pelo celular'!C426="","",'Preencher pelo celular'!C426)</f>
        <v/>
      </c>
      <c r="O74" s="11" t="str">
        <f>IF('Preencher pelo celular'!D426="","",'Preencher pelo celular'!D426)</f>
        <v/>
      </c>
      <c r="P74" s="11" t="str">
        <f>IF('Preencher pelo celular'!F426="","",'Preencher pelo celular'!F426)</f>
        <v/>
      </c>
      <c r="Q74" s="11" t="str">
        <f>IF('Preencher pelo celular'!C427="","",'Preencher pelo celular'!C427)</f>
        <v/>
      </c>
      <c r="R74" s="11" t="str">
        <f>IF('Preencher pelo celular'!D427="","",'Preencher pelo celular'!D427)</f>
        <v/>
      </c>
      <c r="S74" s="11" t="str">
        <f>IF('Preencher pelo celular'!F427="","",'Preencher pelo celular'!F427)</f>
        <v/>
      </c>
      <c r="T74" s="14" t="str">
        <f t="shared" si="6"/>
        <v/>
      </c>
      <c r="U74" s="14" t="str">
        <f t="shared" si="7"/>
        <v/>
      </c>
      <c r="V74" s="14" t="str">
        <f t="shared" si="8"/>
        <v/>
      </c>
    </row>
    <row r="75" spans="1:22" x14ac:dyDescent="0.25">
      <c r="A75" s="15">
        <f>'Preencher pelo celular'!A428</f>
        <v>46361</v>
      </c>
      <c r="B75" s="16" t="str">
        <f>IF('Preencher pelo celular'!C428="","",'Preencher pelo celular'!C428)</f>
        <v/>
      </c>
      <c r="C75" s="16" t="str">
        <f>IF('Preencher pelo celular'!D428="","",'Preencher pelo celular'!D428)</f>
        <v/>
      </c>
      <c r="D75" s="16" t="str">
        <f>IF('Preencher pelo celular'!F428="","",'Preencher pelo celular'!F428)</f>
        <v/>
      </c>
      <c r="E75" s="16" t="str">
        <f>IF('Preencher pelo celular'!C429="","",'Preencher pelo celular'!C429)</f>
        <v/>
      </c>
      <c r="F75" s="16" t="str">
        <f>IF('Preencher pelo celular'!D429="","",'Preencher pelo celular'!D429)</f>
        <v/>
      </c>
      <c r="G75" s="16" t="str">
        <f>IF('Preencher pelo celular'!F429="","",'Preencher pelo celular'!F429)</f>
        <v/>
      </c>
      <c r="H75" s="16" t="str">
        <f>IF('Preencher pelo celular'!C430="","",'Preencher pelo celular'!C430)</f>
        <v/>
      </c>
      <c r="I75" s="16" t="str">
        <f>IF('Preencher pelo celular'!D430="","",'Preencher pelo celular'!D430)</f>
        <v/>
      </c>
      <c r="J75" s="16" t="str">
        <f>IF('Preencher pelo celular'!F430="","",'Preencher pelo celular'!F430)</f>
        <v/>
      </c>
      <c r="K75" s="16" t="str">
        <f>IF('Preencher pelo celular'!C431="","",'Preencher pelo celular'!C431)</f>
        <v/>
      </c>
      <c r="L75" s="16" t="str">
        <f>IF('Preencher pelo celular'!D431="","",'Preencher pelo celular'!D431)</f>
        <v/>
      </c>
      <c r="M75" s="16" t="str">
        <f>IF('Preencher pelo celular'!F431="","",'Preencher pelo celular'!F431)</f>
        <v/>
      </c>
      <c r="N75" s="16" t="str">
        <f>IF('Preencher pelo celular'!C432="","",'Preencher pelo celular'!C432)</f>
        <v/>
      </c>
      <c r="O75" s="16" t="str">
        <f>IF('Preencher pelo celular'!D432="","",'Preencher pelo celular'!D432)</f>
        <v/>
      </c>
      <c r="P75" s="16" t="str">
        <f>IF('Preencher pelo celular'!F432="","",'Preencher pelo celular'!F432)</f>
        <v/>
      </c>
      <c r="Q75" s="16" t="str">
        <f>IF('Preencher pelo celular'!C433="","",'Preencher pelo celular'!C433)</f>
        <v/>
      </c>
      <c r="R75" s="16" t="str">
        <f>IF('Preencher pelo celular'!D433="","",'Preencher pelo celular'!D433)</f>
        <v/>
      </c>
      <c r="S75" s="16" t="str">
        <f>IF('Preencher pelo celular'!F433="","",'Preencher pelo celular'!F433)</f>
        <v/>
      </c>
      <c r="T75" s="14" t="str">
        <f t="shared" si="6"/>
        <v/>
      </c>
      <c r="U75" s="14" t="str">
        <f t="shared" si="7"/>
        <v/>
      </c>
      <c r="V75" s="14" t="str">
        <f t="shared" si="8"/>
        <v/>
      </c>
    </row>
    <row r="76" spans="1:22" x14ac:dyDescent="0.25">
      <c r="A76" s="13">
        <f>'Preencher pelo celular'!A434</f>
        <v>46362</v>
      </c>
      <c r="B76" s="11" t="str">
        <f>IF('Preencher pelo celular'!C434="","",'Preencher pelo celular'!C434)</f>
        <v/>
      </c>
      <c r="C76" s="11" t="str">
        <f>IF('Preencher pelo celular'!D434="","",'Preencher pelo celular'!D434)</f>
        <v/>
      </c>
      <c r="D76" s="11" t="str">
        <f>IF('Preencher pelo celular'!F434="","",'Preencher pelo celular'!F434)</f>
        <v/>
      </c>
      <c r="E76" s="11" t="str">
        <f>IF('Preencher pelo celular'!C435="","",'Preencher pelo celular'!C435)</f>
        <v/>
      </c>
      <c r="F76" s="11" t="str">
        <f>IF('Preencher pelo celular'!D435="","",'Preencher pelo celular'!D435)</f>
        <v/>
      </c>
      <c r="G76" s="11" t="str">
        <f>IF('Preencher pelo celular'!F435="","",'Preencher pelo celular'!F435)</f>
        <v/>
      </c>
      <c r="H76" s="11" t="str">
        <f>IF('Preencher pelo celular'!C436="","",'Preencher pelo celular'!C436)</f>
        <v/>
      </c>
      <c r="I76" s="11" t="str">
        <f>IF('Preencher pelo celular'!D436="","",'Preencher pelo celular'!D436)</f>
        <v/>
      </c>
      <c r="J76" s="11" t="str">
        <f>IF('Preencher pelo celular'!F436="","",'Preencher pelo celular'!F436)</f>
        <v/>
      </c>
      <c r="K76" s="11" t="str">
        <f>IF('Preencher pelo celular'!C437="","",'Preencher pelo celular'!C437)</f>
        <v/>
      </c>
      <c r="L76" s="11" t="str">
        <f>IF('Preencher pelo celular'!D437="","",'Preencher pelo celular'!D437)</f>
        <v/>
      </c>
      <c r="M76" s="11" t="str">
        <f>IF('Preencher pelo celular'!F437="","",'Preencher pelo celular'!F437)</f>
        <v/>
      </c>
      <c r="N76" s="11" t="str">
        <f>IF('Preencher pelo celular'!C438="","",'Preencher pelo celular'!C438)</f>
        <v/>
      </c>
      <c r="O76" s="11" t="str">
        <f>IF('Preencher pelo celular'!D438="","",'Preencher pelo celular'!D438)</f>
        <v/>
      </c>
      <c r="P76" s="11" t="str">
        <f>IF('Preencher pelo celular'!F438="","",'Preencher pelo celular'!F438)</f>
        <v/>
      </c>
      <c r="Q76" s="11" t="str">
        <f>IF('Preencher pelo celular'!C439="","",'Preencher pelo celular'!C439)</f>
        <v/>
      </c>
      <c r="R76" s="11" t="str">
        <f>IF('Preencher pelo celular'!D439="","",'Preencher pelo celular'!D439)</f>
        <v/>
      </c>
      <c r="S76" s="11" t="str">
        <f>IF('Preencher pelo celular'!F439="","",'Preencher pelo celular'!F439)</f>
        <v/>
      </c>
      <c r="T76" s="14" t="str">
        <f t="shared" si="6"/>
        <v/>
      </c>
      <c r="U76" s="14" t="str">
        <f t="shared" si="7"/>
        <v/>
      </c>
      <c r="V76" s="14" t="str">
        <f t="shared" si="8"/>
        <v/>
      </c>
    </row>
    <row r="77" spans="1:22" x14ac:dyDescent="0.25">
      <c r="A77" s="15">
        <f>'Preencher pelo celular'!A440</f>
        <v>46363</v>
      </c>
      <c r="B77" s="16" t="str">
        <f>IF('Preencher pelo celular'!C440="","",'Preencher pelo celular'!C440)</f>
        <v/>
      </c>
      <c r="C77" s="16" t="str">
        <f>IF('Preencher pelo celular'!D440="","",'Preencher pelo celular'!D440)</f>
        <v/>
      </c>
      <c r="D77" s="16" t="str">
        <f>IF('Preencher pelo celular'!F440="","",'Preencher pelo celular'!F440)</f>
        <v/>
      </c>
      <c r="E77" s="16" t="str">
        <f>IF('Preencher pelo celular'!C441="","",'Preencher pelo celular'!C441)</f>
        <v/>
      </c>
      <c r="F77" s="16" t="str">
        <f>IF('Preencher pelo celular'!D441="","",'Preencher pelo celular'!D441)</f>
        <v/>
      </c>
      <c r="G77" s="16" t="str">
        <f>IF('Preencher pelo celular'!F441="","",'Preencher pelo celular'!F441)</f>
        <v/>
      </c>
      <c r="H77" s="16" t="str">
        <f>IF('Preencher pelo celular'!C442="","",'Preencher pelo celular'!C442)</f>
        <v/>
      </c>
      <c r="I77" s="16" t="str">
        <f>IF('Preencher pelo celular'!D442="","",'Preencher pelo celular'!D442)</f>
        <v/>
      </c>
      <c r="J77" s="16" t="str">
        <f>IF('Preencher pelo celular'!F442="","",'Preencher pelo celular'!F442)</f>
        <v/>
      </c>
      <c r="K77" s="16" t="str">
        <f>IF('Preencher pelo celular'!C443="","",'Preencher pelo celular'!C443)</f>
        <v/>
      </c>
      <c r="L77" s="16" t="str">
        <f>IF('Preencher pelo celular'!D443="","",'Preencher pelo celular'!D443)</f>
        <v/>
      </c>
      <c r="M77" s="16" t="str">
        <f>IF('Preencher pelo celular'!F443="","",'Preencher pelo celular'!F443)</f>
        <v/>
      </c>
      <c r="N77" s="16" t="str">
        <f>IF('Preencher pelo celular'!C444="","",'Preencher pelo celular'!C444)</f>
        <v/>
      </c>
      <c r="O77" s="16" t="str">
        <f>IF('Preencher pelo celular'!D444="","",'Preencher pelo celular'!D444)</f>
        <v/>
      </c>
      <c r="P77" s="16" t="str">
        <f>IF('Preencher pelo celular'!F444="","",'Preencher pelo celular'!F444)</f>
        <v/>
      </c>
      <c r="Q77" s="16" t="str">
        <f>IF('Preencher pelo celular'!C445="","",'Preencher pelo celular'!C445)</f>
        <v/>
      </c>
      <c r="R77" s="16" t="str">
        <f>IF('Preencher pelo celular'!D445="","",'Preencher pelo celular'!D445)</f>
        <v/>
      </c>
      <c r="S77" s="16" t="str">
        <f>IF('Preencher pelo celular'!F445="","",'Preencher pelo celular'!F445)</f>
        <v/>
      </c>
      <c r="T77" s="14" t="str">
        <f t="shared" si="6"/>
        <v/>
      </c>
      <c r="U77" s="14" t="str">
        <f t="shared" si="7"/>
        <v/>
      </c>
      <c r="V77" s="14" t="str">
        <f t="shared" si="8"/>
        <v/>
      </c>
    </row>
    <row r="78" spans="1:22" x14ac:dyDescent="0.25">
      <c r="A78" s="13">
        <f>'Preencher pelo celular'!A446</f>
        <v>46364</v>
      </c>
      <c r="B78" s="11" t="str">
        <f>IF('Preencher pelo celular'!C446="","",'Preencher pelo celular'!C446)</f>
        <v/>
      </c>
      <c r="C78" s="11" t="str">
        <f>IF('Preencher pelo celular'!D446="","",'Preencher pelo celular'!D446)</f>
        <v/>
      </c>
      <c r="D78" s="11" t="str">
        <f>IF('Preencher pelo celular'!F446="","",'Preencher pelo celular'!F446)</f>
        <v/>
      </c>
      <c r="E78" s="11" t="str">
        <f>IF('Preencher pelo celular'!C447="","",'Preencher pelo celular'!C447)</f>
        <v/>
      </c>
      <c r="F78" s="11" t="str">
        <f>IF('Preencher pelo celular'!D447="","",'Preencher pelo celular'!D447)</f>
        <v/>
      </c>
      <c r="G78" s="11" t="str">
        <f>IF('Preencher pelo celular'!F447="","",'Preencher pelo celular'!F447)</f>
        <v/>
      </c>
      <c r="H78" s="11" t="str">
        <f>IF('Preencher pelo celular'!C448="","",'Preencher pelo celular'!C448)</f>
        <v/>
      </c>
      <c r="I78" s="11" t="str">
        <f>IF('Preencher pelo celular'!D448="","",'Preencher pelo celular'!D448)</f>
        <v/>
      </c>
      <c r="J78" s="11" t="str">
        <f>IF('Preencher pelo celular'!F448="","",'Preencher pelo celular'!F448)</f>
        <v/>
      </c>
      <c r="K78" s="11" t="str">
        <f>IF('Preencher pelo celular'!C449="","",'Preencher pelo celular'!C449)</f>
        <v/>
      </c>
      <c r="L78" s="11" t="str">
        <f>IF('Preencher pelo celular'!D449="","",'Preencher pelo celular'!D449)</f>
        <v/>
      </c>
      <c r="M78" s="11" t="str">
        <f>IF('Preencher pelo celular'!F449="","",'Preencher pelo celular'!F449)</f>
        <v/>
      </c>
      <c r="N78" s="11" t="str">
        <f>IF('Preencher pelo celular'!C450="","",'Preencher pelo celular'!C450)</f>
        <v/>
      </c>
      <c r="O78" s="11" t="str">
        <f>IF('Preencher pelo celular'!D450="","",'Preencher pelo celular'!D450)</f>
        <v/>
      </c>
      <c r="P78" s="11" t="str">
        <f>IF('Preencher pelo celular'!F450="","",'Preencher pelo celular'!F450)</f>
        <v/>
      </c>
      <c r="Q78" s="11" t="str">
        <f>IF('Preencher pelo celular'!C451="","",'Preencher pelo celular'!C451)</f>
        <v/>
      </c>
      <c r="R78" s="11" t="str">
        <f>IF('Preencher pelo celular'!D451="","",'Preencher pelo celular'!D451)</f>
        <v/>
      </c>
      <c r="S78" s="11" t="str">
        <f>IF('Preencher pelo celular'!F451="","",'Preencher pelo celular'!F451)</f>
        <v/>
      </c>
      <c r="T78" s="14" t="str">
        <f t="shared" si="6"/>
        <v/>
      </c>
      <c r="U78" s="14" t="str">
        <f t="shared" si="7"/>
        <v/>
      </c>
      <c r="V78" s="14" t="str">
        <f t="shared" si="8"/>
        <v/>
      </c>
    </row>
    <row r="79" spans="1:22" x14ac:dyDescent="0.25">
      <c r="A79" s="15">
        <f>'Preencher pelo celular'!A452</f>
        <v>46365</v>
      </c>
      <c r="B79" s="16" t="str">
        <f>IF('Preencher pelo celular'!C452="","",'Preencher pelo celular'!C452)</f>
        <v/>
      </c>
      <c r="C79" s="16" t="str">
        <f>IF('Preencher pelo celular'!D452="","",'Preencher pelo celular'!D452)</f>
        <v/>
      </c>
      <c r="D79" s="16" t="str">
        <f>IF('Preencher pelo celular'!F452="","",'Preencher pelo celular'!F452)</f>
        <v/>
      </c>
      <c r="E79" s="16" t="str">
        <f>IF('Preencher pelo celular'!C453="","",'Preencher pelo celular'!C453)</f>
        <v/>
      </c>
      <c r="F79" s="16" t="str">
        <f>IF('Preencher pelo celular'!D453="","",'Preencher pelo celular'!D453)</f>
        <v/>
      </c>
      <c r="G79" s="16" t="str">
        <f>IF('Preencher pelo celular'!F453="","",'Preencher pelo celular'!F453)</f>
        <v/>
      </c>
      <c r="H79" s="16" t="str">
        <f>IF('Preencher pelo celular'!C454="","",'Preencher pelo celular'!C454)</f>
        <v/>
      </c>
      <c r="I79" s="16" t="str">
        <f>IF('Preencher pelo celular'!D454="","",'Preencher pelo celular'!D454)</f>
        <v/>
      </c>
      <c r="J79" s="16" t="str">
        <f>IF('Preencher pelo celular'!F454="","",'Preencher pelo celular'!F454)</f>
        <v/>
      </c>
      <c r="K79" s="16" t="str">
        <f>IF('Preencher pelo celular'!C455="","",'Preencher pelo celular'!C455)</f>
        <v/>
      </c>
      <c r="L79" s="16" t="str">
        <f>IF('Preencher pelo celular'!D455="","",'Preencher pelo celular'!D455)</f>
        <v/>
      </c>
      <c r="M79" s="16" t="str">
        <f>IF('Preencher pelo celular'!F455="","",'Preencher pelo celular'!F455)</f>
        <v/>
      </c>
      <c r="N79" s="16" t="str">
        <f>IF('Preencher pelo celular'!C456="","",'Preencher pelo celular'!C456)</f>
        <v/>
      </c>
      <c r="O79" s="16" t="str">
        <f>IF('Preencher pelo celular'!D456="","",'Preencher pelo celular'!D456)</f>
        <v/>
      </c>
      <c r="P79" s="16" t="str">
        <f>IF('Preencher pelo celular'!F456="","",'Preencher pelo celular'!F456)</f>
        <v/>
      </c>
      <c r="Q79" s="16" t="str">
        <f>IF('Preencher pelo celular'!C457="","",'Preencher pelo celular'!C457)</f>
        <v/>
      </c>
      <c r="R79" s="16" t="str">
        <f>IF('Preencher pelo celular'!D457="","",'Preencher pelo celular'!D457)</f>
        <v/>
      </c>
      <c r="S79" s="16" t="str">
        <f>IF('Preencher pelo celular'!F457="","",'Preencher pelo celular'!F457)</f>
        <v/>
      </c>
      <c r="T79" s="14" t="str">
        <f t="shared" si="6"/>
        <v/>
      </c>
      <c r="U79" s="14" t="str">
        <f t="shared" si="7"/>
        <v/>
      </c>
      <c r="V79" s="14" t="str">
        <f t="shared" si="8"/>
        <v/>
      </c>
    </row>
    <row r="80" spans="1:22" x14ac:dyDescent="0.25">
      <c r="A80" s="13">
        <f>'Preencher pelo celular'!A458</f>
        <v>46366</v>
      </c>
      <c r="B80" s="11" t="str">
        <f>IF('Preencher pelo celular'!C458="","",'Preencher pelo celular'!C458)</f>
        <v/>
      </c>
      <c r="C80" s="11" t="str">
        <f>IF('Preencher pelo celular'!D458="","",'Preencher pelo celular'!D458)</f>
        <v/>
      </c>
      <c r="D80" s="11" t="str">
        <f>IF('Preencher pelo celular'!F458="","",'Preencher pelo celular'!F458)</f>
        <v/>
      </c>
      <c r="E80" s="11" t="str">
        <f>IF('Preencher pelo celular'!C459="","",'Preencher pelo celular'!C459)</f>
        <v/>
      </c>
      <c r="F80" s="11" t="str">
        <f>IF('Preencher pelo celular'!D459="","",'Preencher pelo celular'!D459)</f>
        <v/>
      </c>
      <c r="G80" s="11" t="str">
        <f>IF('Preencher pelo celular'!F459="","",'Preencher pelo celular'!F459)</f>
        <v/>
      </c>
      <c r="H80" s="11" t="str">
        <f>IF('Preencher pelo celular'!C460="","",'Preencher pelo celular'!C460)</f>
        <v/>
      </c>
      <c r="I80" s="11" t="str">
        <f>IF('Preencher pelo celular'!D460="","",'Preencher pelo celular'!D460)</f>
        <v/>
      </c>
      <c r="J80" s="11" t="str">
        <f>IF('Preencher pelo celular'!F460="","",'Preencher pelo celular'!F460)</f>
        <v/>
      </c>
      <c r="K80" s="11" t="str">
        <f>IF('Preencher pelo celular'!C461="","",'Preencher pelo celular'!C461)</f>
        <v/>
      </c>
      <c r="L80" s="11" t="str">
        <f>IF('Preencher pelo celular'!D461="","",'Preencher pelo celular'!D461)</f>
        <v/>
      </c>
      <c r="M80" s="11" t="str">
        <f>IF('Preencher pelo celular'!F461="","",'Preencher pelo celular'!F461)</f>
        <v/>
      </c>
      <c r="N80" s="11" t="str">
        <f>IF('Preencher pelo celular'!C462="","",'Preencher pelo celular'!C462)</f>
        <v/>
      </c>
      <c r="O80" s="11" t="str">
        <f>IF('Preencher pelo celular'!D462="","",'Preencher pelo celular'!D462)</f>
        <v/>
      </c>
      <c r="P80" s="11" t="str">
        <f>IF('Preencher pelo celular'!F462="","",'Preencher pelo celular'!F462)</f>
        <v/>
      </c>
      <c r="Q80" s="11" t="str">
        <f>IF('Preencher pelo celular'!C463="","",'Preencher pelo celular'!C463)</f>
        <v/>
      </c>
      <c r="R80" s="11" t="str">
        <f>IF('Preencher pelo celular'!D463="","",'Preencher pelo celular'!D463)</f>
        <v/>
      </c>
      <c r="S80" s="11" t="str">
        <f>IF('Preencher pelo celular'!F463="","",'Preencher pelo celular'!F463)</f>
        <v/>
      </c>
      <c r="T80" s="14" t="str">
        <f t="shared" si="6"/>
        <v/>
      </c>
      <c r="U80" s="14" t="str">
        <f t="shared" si="7"/>
        <v/>
      </c>
      <c r="V80" s="14" t="str">
        <f t="shared" si="8"/>
        <v/>
      </c>
    </row>
    <row r="81" spans="1:22" x14ac:dyDescent="0.25">
      <c r="A81" s="15">
        <f>'Preencher pelo celular'!A464</f>
        <v>46367</v>
      </c>
      <c r="B81" s="16" t="str">
        <f>IF('Preencher pelo celular'!C464="","",'Preencher pelo celular'!C464)</f>
        <v/>
      </c>
      <c r="C81" s="16" t="str">
        <f>IF('Preencher pelo celular'!D464="","",'Preencher pelo celular'!D464)</f>
        <v/>
      </c>
      <c r="D81" s="16" t="str">
        <f>IF('Preencher pelo celular'!F464="","",'Preencher pelo celular'!F464)</f>
        <v/>
      </c>
      <c r="E81" s="16" t="str">
        <f>IF('Preencher pelo celular'!C465="","",'Preencher pelo celular'!C465)</f>
        <v/>
      </c>
      <c r="F81" s="16" t="str">
        <f>IF('Preencher pelo celular'!D465="","",'Preencher pelo celular'!D465)</f>
        <v/>
      </c>
      <c r="G81" s="16" t="str">
        <f>IF('Preencher pelo celular'!F465="","",'Preencher pelo celular'!F465)</f>
        <v/>
      </c>
      <c r="H81" s="16" t="str">
        <f>IF('Preencher pelo celular'!C466="","",'Preencher pelo celular'!C466)</f>
        <v/>
      </c>
      <c r="I81" s="16" t="str">
        <f>IF('Preencher pelo celular'!D466="","",'Preencher pelo celular'!D466)</f>
        <v/>
      </c>
      <c r="J81" s="16" t="str">
        <f>IF('Preencher pelo celular'!F466="","",'Preencher pelo celular'!F466)</f>
        <v/>
      </c>
      <c r="K81" s="16" t="str">
        <f>IF('Preencher pelo celular'!C467="","",'Preencher pelo celular'!C467)</f>
        <v/>
      </c>
      <c r="L81" s="16" t="str">
        <f>IF('Preencher pelo celular'!D467="","",'Preencher pelo celular'!D467)</f>
        <v/>
      </c>
      <c r="M81" s="16" t="str">
        <f>IF('Preencher pelo celular'!F467="","",'Preencher pelo celular'!F467)</f>
        <v/>
      </c>
      <c r="N81" s="16" t="str">
        <f>IF('Preencher pelo celular'!C468="","",'Preencher pelo celular'!C468)</f>
        <v/>
      </c>
      <c r="O81" s="16" t="str">
        <f>IF('Preencher pelo celular'!D468="","",'Preencher pelo celular'!D468)</f>
        <v/>
      </c>
      <c r="P81" s="16" t="str">
        <f>IF('Preencher pelo celular'!F468="","",'Preencher pelo celular'!F468)</f>
        <v/>
      </c>
      <c r="Q81" s="16" t="str">
        <f>IF('Preencher pelo celular'!C469="","",'Preencher pelo celular'!C469)</f>
        <v/>
      </c>
      <c r="R81" s="16" t="str">
        <f>IF('Preencher pelo celular'!D469="","",'Preencher pelo celular'!D469)</f>
        <v/>
      </c>
      <c r="S81" s="16" t="str">
        <f>IF('Preencher pelo celular'!F469="","",'Preencher pelo celular'!F469)</f>
        <v/>
      </c>
      <c r="T81" s="14" t="str">
        <f t="shared" si="6"/>
        <v/>
      </c>
      <c r="U81" s="14" t="str">
        <f t="shared" si="7"/>
        <v/>
      </c>
      <c r="V81" s="14" t="str">
        <f t="shared" si="8"/>
        <v/>
      </c>
    </row>
    <row r="82" spans="1:22" x14ac:dyDescent="0.25">
      <c r="A82" s="13">
        <f>'Preencher pelo celular'!A470</f>
        <v>46368</v>
      </c>
      <c r="B82" s="11" t="str">
        <f>IF('Preencher pelo celular'!C470="","",'Preencher pelo celular'!C470)</f>
        <v/>
      </c>
      <c r="C82" s="11" t="str">
        <f>IF('Preencher pelo celular'!D470="","",'Preencher pelo celular'!D470)</f>
        <v/>
      </c>
      <c r="D82" s="11" t="str">
        <f>IF('Preencher pelo celular'!F470="","",'Preencher pelo celular'!F470)</f>
        <v/>
      </c>
      <c r="E82" s="11" t="str">
        <f>IF('Preencher pelo celular'!C471="","",'Preencher pelo celular'!C471)</f>
        <v/>
      </c>
      <c r="F82" s="11" t="str">
        <f>IF('Preencher pelo celular'!D471="","",'Preencher pelo celular'!D471)</f>
        <v/>
      </c>
      <c r="G82" s="11" t="str">
        <f>IF('Preencher pelo celular'!F471="","",'Preencher pelo celular'!F471)</f>
        <v/>
      </c>
      <c r="H82" s="11" t="str">
        <f>IF('Preencher pelo celular'!C472="","",'Preencher pelo celular'!C472)</f>
        <v/>
      </c>
      <c r="I82" s="11" t="str">
        <f>IF('Preencher pelo celular'!D472="","",'Preencher pelo celular'!D472)</f>
        <v/>
      </c>
      <c r="J82" s="11" t="str">
        <f>IF('Preencher pelo celular'!F472="","",'Preencher pelo celular'!F472)</f>
        <v/>
      </c>
      <c r="K82" s="11" t="str">
        <f>IF('Preencher pelo celular'!C473="","",'Preencher pelo celular'!C473)</f>
        <v/>
      </c>
      <c r="L82" s="11" t="str">
        <f>IF('Preencher pelo celular'!D473="","",'Preencher pelo celular'!D473)</f>
        <v/>
      </c>
      <c r="M82" s="11" t="str">
        <f>IF('Preencher pelo celular'!F473="","",'Preencher pelo celular'!F473)</f>
        <v/>
      </c>
      <c r="N82" s="11" t="str">
        <f>IF('Preencher pelo celular'!C474="","",'Preencher pelo celular'!C474)</f>
        <v/>
      </c>
      <c r="O82" s="11" t="str">
        <f>IF('Preencher pelo celular'!D474="","",'Preencher pelo celular'!D474)</f>
        <v/>
      </c>
      <c r="P82" s="11" t="str">
        <f>IF('Preencher pelo celular'!F474="","",'Preencher pelo celular'!F474)</f>
        <v/>
      </c>
      <c r="Q82" s="11" t="str">
        <f>IF('Preencher pelo celular'!C475="","",'Preencher pelo celular'!C475)</f>
        <v/>
      </c>
      <c r="R82" s="11" t="str">
        <f>IF('Preencher pelo celular'!D475="","",'Preencher pelo celular'!D475)</f>
        <v/>
      </c>
      <c r="S82" s="11" t="str">
        <f>IF('Preencher pelo celular'!F475="","",'Preencher pelo celular'!F475)</f>
        <v/>
      </c>
      <c r="T82" s="14" t="str">
        <f t="shared" si="6"/>
        <v/>
      </c>
      <c r="U82" s="14" t="str">
        <f t="shared" si="7"/>
        <v/>
      </c>
      <c r="V82" s="14" t="str">
        <f t="shared" si="8"/>
        <v/>
      </c>
    </row>
    <row r="83" spans="1:22" x14ac:dyDescent="0.25">
      <c r="A83" s="15">
        <f>'Preencher pelo celular'!A476</f>
        <v>46369</v>
      </c>
      <c r="B83" s="16" t="str">
        <f>IF('Preencher pelo celular'!C476="","",'Preencher pelo celular'!C476)</f>
        <v/>
      </c>
      <c r="C83" s="16" t="str">
        <f>IF('Preencher pelo celular'!D476="","",'Preencher pelo celular'!D476)</f>
        <v/>
      </c>
      <c r="D83" s="16" t="str">
        <f>IF('Preencher pelo celular'!F476="","",'Preencher pelo celular'!F476)</f>
        <v/>
      </c>
      <c r="E83" s="16" t="str">
        <f>IF('Preencher pelo celular'!C477="","",'Preencher pelo celular'!C477)</f>
        <v/>
      </c>
      <c r="F83" s="16" t="str">
        <f>IF('Preencher pelo celular'!D477="","",'Preencher pelo celular'!D477)</f>
        <v/>
      </c>
      <c r="G83" s="16" t="str">
        <f>IF('Preencher pelo celular'!F477="","",'Preencher pelo celular'!F477)</f>
        <v/>
      </c>
      <c r="H83" s="16" t="str">
        <f>IF('Preencher pelo celular'!C478="","",'Preencher pelo celular'!C478)</f>
        <v/>
      </c>
      <c r="I83" s="16" t="str">
        <f>IF('Preencher pelo celular'!D478="","",'Preencher pelo celular'!D478)</f>
        <v/>
      </c>
      <c r="J83" s="16" t="str">
        <f>IF('Preencher pelo celular'!F478="","",'Preencher pelo celular'!F478)</f>
        <v/>
      </c>
      <c r="K83" s="16" t="str">
        <f>IF('Preencher pelo celular'!C479="","",'Preencher pelo celular'!C479)</f>
        <v/>
      </c>
      <c r="L83" s="16" t="str">
        <f>IF('Preencher pelo celular'!D479="","",'Preencher pelo celular'!D479)</f>
        <v/>
      </c>
      <c r="M83" s="16" t="str">
        <f>IF('Preencher pelo celular'!F479="","",'Preencher pelo celular'!F479)</f>
        <v/>
      </c>
      <c r="N83" s="16" t="str">
        <f>IF('Preencher pelo celular'!C480="","",'Preencher pelo celular'!C480)</f>
        <v/>
      </c>
      <c r="O83" s="16" t="str">
        <f>IF('Preencher pelo celular'!D480="","",'Preencher pelo celular'!D480)</f>
        <v/>
      </c>
      <c r="P83" s="16" t="str">
        <f>IF('Preencher pelo celular'!F480="","",'Preencher pelo celular'!F480)</f>
        <v/>
      </c>
      <c r="Q83" s="16" t="str">
        <f>IF('Preencher pelo celular'!C481="","",'Preencher pelo celular'!C481)</f>
        <v/>
      </c>
      <c r="R83" s="16" t="str">
        <f>IF('Preencher pelo celular'!D481="","",'Preencher pelo celular'!D481)</f>
        <v/>
      </c>
      <c r="S83" s="16" t="str">
        <f>IF('Preencher pelo celular'!F481="","",'Preencher pelo celular'!F481)</f>
        <v/>
      </c>
      <c r="T83" s="14" t="str">
        <f t="shared" si="6"/>
        <v/>
      </c>
      <c r="U83" s="14" t="str">
        <f t="shared" si="7"/>
        <v/>
      </c>
      <c r="V83" s="14" t="str">
        <f t="shared" si="8"/>
        <v/>
      </c>
    </row>
    <row r="84" spans="1:22" x14ac:dyDescent="0.25">
      <c r="A84" s="13">
        <f>'Preencher pelo celular'!A482</f>
        <v>46370</v>
      </c>
      <c r="B84" s="11" t="str">
        <f>IF('Preencher pelo celular'!C482="","",'Preencher pelo celular'!C482)</f>
        <v/>
      </c>
      <c r="C84" s="11" t="str">
        <f>IF('Preencher pelo celular'!D482="","",'Preencher pelo celular'!D482)</f>
        <v/>
      </c>
      <c r="D84" s="11" t="str">
        <f>IF('Preencher pelo celular'!F482="","",'Preencher pelo celular'!F482)</f>
        <v/>
      </c>
      <c r="E84" s="11" t="str">
        <f>IF('Preencher pelo celular'!C483="","",'Preencher pelo celular'!C483)</f>
        <v/>
      </c>
      <c r="F84" s="11" t="str">
        <f>IF('Preencher pelo celular'!D483="","",'Preencher pelo celular'!D483)</f>
        <v/>
      </c>
      <c r="G84" s="11" t="str">
        <f>IF('Preencher pelo celular'!F483="","",'Preencher pelo celular'!F483)</f>
        <v/>
      </c>
      <c r="H84" s="11" t="str">
        <f>IF('Preencher pelo celular'!C484="","",'Preencher pelo celular'!C484)</f>
        <v/>
      </c>
      <c r="I84" s="11" t="str">
        <f>IF('Preencher pelo celular'!D484="","",'Preencher pelo celular'!D484)</f>
        <v/>
      </c>
      <c r="J84" s="11" t="str">
        <f>IF('Preencher pelo celular'!F484="","",'Preencher pelo celular'!F484)</f>
        <v/>
      </c>
      <c r="K84" s="11" t="str">
        <f>IF('Preencher pelo celular'!C485="","",'Preencher pelo celular'!C485)</f>
        <v/>
      </c>
      <c r="L84" s="11" t="str">
        <f>IF('Preencher pelo celular'!D485="","",'Preencher pelo celular'!D485)</f>
        <v/>
      </c>
      <c r="M84" s="11" t="str">
        <f>IF('Preencher pelo celular'!F485="","",'Preencher pelo celular'!F485)</f>
        <v/>
      </c>
      <c r="N84" s="11" t="str">
        <f>IF('Preencher pelo celular'!C486="","",'Preencher pelo celular'!C486)</f>
        <v/>
      </c>
      <c r="O84" s="11" t="str">
        <f>IF('Preencher pelo celular'!D486="","",'Preencher pelo celular'!D486)</f>
        <v/>
      </c>
      <c r="P84" s="11" t="str">
        <f>IF('Preencher pelo celular'!F486="","",'Preencher pelo celular'!F486)</f>
        <v/>
      </c>
      <c r="Q84" s="11" t="str">
        <f>IF('Preencher pelo celular'!C487="","",'Preencher pelo celular'!C487)</f>
        <v/>
      </c>
      <c r="R84" s="11" t="str">
        <f>IF('Preencher pelo celular'!D487="","",'Preencher pelo celular'!D487)</f>
        <v/>
      </c>
      <c r="S84" s="11" t="str">
        <f>IF('Preencher pelo celular'!F487="","",'Preencher pelo celular'!F487)</f>
        <v/>
      </c>
      <c r="T84" s="14" t="str">
        <f t="shared" si="6"/>
        <v/>
      </c>
      <c r="U84" s="14" t="str">
        <f t="shared" si="7"/>
        <v/>
      </c>
      <c r="V84" s="14" t="str">
        <f t="shared" si="8"/>
        <v/>
      </c>
    </row>
    <row r="85" spans="1:22" x14ac:dyDescent="0.25">
      <c r="A85" s="15">
        <f>'Preencher pelo celular'!A488</f>
        <v>46371</v>
      </c>
      <c r="B85" s="16" t="str">
        <f>IF('Preencher pelo celular'!C488="","",'Preencher pelo celular'!C488)</f>
        <v/>
      </c>
      <c r="C85" s="16" t="str">
        <f>IF('Preencher pelo celular'!D488="","",'Preencher pelo celular'!D488)</f>
        <v/>
      </c>
      <c r="D85" s="16" t="str">
        <f>IF('Preencher pelo celular'!F488="","",'Preencher pelo celular'!F488)</f>
        <v/>
      </c>
      <c r="E85" s="16" t="str">
        <f>IF('Preencher pelo celular'!C489="","",'Preencher pelo celular'!C489)</f>
        <v/>
      </c>
      <c r="F85" s="16" t="str">
        <f>IF('Preencher pelo celular'!D489="","",'Preencher pelo celular'!D489)</f>
        <v/>
      </c>
      <c r="G85" s="16" t="str">
        <f>IF('Preencher pelo celular'!F489="","",'Preencher pelo celular'!F489)</f>
        <v/>
      </c>
      <c r="H85" s="16" t="str">
        <f>IF('Preencher pelo celular'!C490="","",'Preencher pelo celular'!C490)</f>
        <v/>
      </c>
      <c r="I85" s="16" t="str">
        <f>IF('Preencher pelo celular'!D490="","",'Preencher pelo celular'!D490)</f>
        <v/>
      </c>
      <c r="J85" s="16" t="str">
        <f>IF('Preencher pelo celular'!F490="","",'Preencher pelo celular'!F490)</f>
        <v/>
      </c>
      <c r="K85" s="16" t="str">
        <f>IF('Preencher pelo celular'!C491="","",'Preencher pelo celular'!C491)</f>
        <v/>
      </c>
      <c r="L85" s="16" t="str">
        <f>IF('Preencher pelo celular'!D491="","",'Preencher pelo celular'!D491)</f>
        <v/>
      </c>
      <c r="M85" s="16" t="str">
        <f>IF('Preencher pelo celular'!F491="","",'Preencher pelo celular'!F491)</f>
        <v/>
      </c>
      <c r="N85" s="16" t="str">
        <f>IF('Preencher pelo celular'!C492="","",'Preencher pelo celular'!C492)</f>
        <v/>
      </c>
      <c r="O85" s="16" t="str">
        <f>IF('Preencher pelo celular'!D492="","",'Preencher pelo celular'!D492)</f>
        <v/>
      </c>
      <c r="P85" s="16" t="str">
        <f>IF('Preencher pelo celular'!F492="","",'Preencher pelo celular'!F492)</f>
        <v/>
      </c>
      <c r="Q85" s="16" t="str">
        <f>IF('Preencher pelo celular'!C493="","",'Preencher pelo celular'!C493)</f>
        <v/>
      </c>
      <c r="R85" s="16" t="str">
        <f>IF('Preencher pelo celular'!D493="","",'Preencher pelo celular'!D493)</f>
        <v/>
      </c>
      <c r="S85" s="16" t="str">
        <f>IF('Preencher pelo celular'!F493="","",'Preencher pelo celular'!F493)</f>
        <v/>
      </c>
      <c r="T85" s="14" t="str">
        <f t="shared" si="6"/>
        <v/>
      </c>
      <c r="U85" s="14" t="str">
        <f t="shared" si="7"/>
        <v/>
      </c>
      <c r="V85" s="14" t="str">
        <f t="shared" si="8"/>
        <v/>
      </c>
    </row>
    <row r="86" spans="1:22" x14ac:dyDescent="0.25">
      <c r="A86" s="13">
        <f>'Preencher pelo celular'!A494</f>
        <v>46372</v>
      </c>
      <c r="B86" s="11" t="str">
        <f>IF('Preencher pelo celular'!C494="","",'Preencher pelo celular'!C494)</f>
        <v/>
      </c>
      <c r="C86" s="11" t="str">
        <f>IF('Preencher pelo celular'!D494="","",'Preencher pelo celular'!D494)</f>
        <v/>
      </c>
      <c r="D86" s="11" t="str">
        <f>IF('Preencher pelo celular'!F494="","",'Preencher pelo celular'!F494)</f>
        <v/>
      </c>
      <c r="E86" s="11" t="str">
        <f>IF('Preencher pelo celular'!C495="","",'Preencher pelo celular'!C495)</f>
        <v/>
      </c>
      <c r="F86" s="11" t="str">
        <f>IF('Preencher pelo celular'!D495="","",'Preencher pelo celular'!D495)</f>
        <v/>
      </c>
      <c r="G86" s="11" t="str">
        <f>IF('Preencher pelo celular'!F495="","",'Preencher pelo celular'!F495)</f>
        <v/>
      </c>
      <c r="H86" s="11" t="str">
        <f>IF('Preencher pelo celular'!C496="","",'Preencher pelo celular'!C496)</f>
        <v/>
      </c>
      <c r="I86" s="11" t="str">
        <f>IF('Preencher pelo celular'!D496="","",'Preencher pelo celular'!D496)</f>
        <v/>
      </c>
      <c r="J86" s="11" t="str">
        <f>IF('Preencher pelo celular'!F496="","",'Preencher pelo celular'!F496)</f>
        <v/>
      </c>
      <c r="K86" s="11" t="str">
        <f>IF('Preencher pelo celular'!C497="","",'Preencher pelo celular'!C497)</f>
        <v/>
      </c>
      <c r="L86" s="11" t="str">
        <f>IF('Preencher pelo celular'!D497="","",'Preencher pelo celular'!D497)</f>
        <v/>
      </c>
      <c r="M86" s="11" t="str">
        <f>IF('Preencher pelo celular'!F497="","",'Preencher pelo celular'!F497)</f>
        <v/>
      </c>
      <c r="N86" s="11" t="str">
        <f>IF('Preencher pelo celular'!C498="","",'Preencher pelo celular'!C498)</f>
        <v/>
      </c>
      <c r="O86" s="11" t="str">
        <f>IF('Preencher pelo celular'!D498="","",'Preencher pelo celular'!D498)</f>
        <v/>
      </c>
      <c r="P86" s="11" t="str">
        <f>IF('Preencher pelo celular'!F498="","",'Preencher pelo celular'!F498)</f>
        <v/>
      </c>
      <c r="Q86" s="11" t="str">
        <f>IF('Preencher pelo celular'!C499="","",'Preencher pelo celular'!C499)</f>
        <v/>
      </c>
      <c r="R86" s="11" t="str">
        <f>IF('Preencher pelo celular'!D499="","",'Preencher pelo celular'!D499)</f>
        <v/>
      </c>
      <c r="S86" s="11" t="str">
        <f>IF('Preencher pelo celular'!F499="","",'Preencher pelo celular'!F499)</f>
        <v/>
      </c>
      <c r="T86" s="14" t="str">
        <f t="shared" si="6"/>
        <v/>
      </c>
      <c r="U86" s="14" t="str">
        <f t="shared" si="7"/>
        <v/>
      </c>
      <c r="V86" s="14" t="str">
        <f t="shared" si="8"/>
        <v/>
      </c>
    </row>
    <row r="87" spans="1:22" x14ac:dyDescent="0.25">
      <c r="A87" s="15">
        <f>'Preencher pelo celular'!A500</f>
        <v>46373</v>
      </c>
      <c r="B87" s="16" t="str">
        <f>IF('Preencher pelo celular'!C500="","",'Preencher pelo celular'!C500)</f>
        <v/>
      </c>
      <c r="C87" s="16" t="str">
        <f>IF('Preencher pelo celular'!D500="","",'Preencher pelo celular'!D500)</f>
        <v/>
      </c>
      <c r="D87" s="16" t="str">
        <f>IF('Preencher pelo celular'!F500="","",'Preencher pelo celular'!F500)</f>
        <v/>
      </c>
      <c r="E87" s="16" t="str">
        <f>IF('Preencher pelo celular'!C501="","",'Preencher pelo celular'!C501)</f>
        <v/>
      </c>
      <c r="F87" s="16" t="str">
        <f>IF('Preencher pelo celular'!D501="","",'Preencher pelo celular'!D501)</f>
        <v/>
      </c>
      <c r="G87" s="16" t="str">
        <f>IF('Preencher pelo celular'!F501="","",'Preencher pelo celular'!F501)</f>
        <v/>
      </c>
      <c r="H87" s="16" t="str">
        <f>IF('Preencher pelo celular'!C502="","",'Preencher pelo celular'!C502)</f>
        <v/>
      </c>
      <c r="I87" s="16" t="str">
        <f>IF('Preencher pelo celular'!D502="","",'Preencher pelo celular'!D502)</f>
        <v/>
      </c>
      <c r="J87" s="16" t="str">
        <f>IF('Preencher pelo celular'!F502="","",'Preencher pelo celular'!F502)</f>
        <v/>
      </c>
      <c r="K87" s="16" t="str">
        <f>IF('Preencher pelo celular'!C503="","",'Preencher pelo celular'!C503)</f>
        <v/>
      </c>
      <c r="L87" s="16" t="str">
        <f>IF('Preencher pelo celular'!D503="","",'Preencher pelo celular'!D503)</f>
        <v/>
      </c>
      <c r="M87" s="16" t="str">
        <f>IF('Preencher pelo celular'!F503="","",'Preencher pelo celular'!F503)</f>
        <v/>
      </c>
      <c r="N87" s="16" t="str">
        <f>IF('Preencher pelo celular'!C504="","",'Preencher pelo celular'!C504)</f>
        <v/>
      </c>
      <c r="O87" s="16" t="str">
        <f>IF('Preencher pelo celular'!D504="","",'Preencher pelo celular'!D504)</f>
        <v/>
      </c>
      <c r="P87" s="16" t="str">
        <f>IF('Preencher pelo celular'!F504="","",'Preencher pelo celular'!F504)</f>
        <v/>
      </c>
      <c r="Q87" s="16" t="str">
        <f>IF('Preencher pelo celular'!C505="","",'Preencher pelo celular'!C505)</f>
        <v/>
      </c>
      <c r="R87" s="16" t="str">
        <f>IF('Preencher pelo celular'!D505="","",'Preencher pelo celular'!D505)</f>
        <v/>
      </c>
      <c r="S87" s="16" t="str">
        <f>IF('Preencher pelo celular'!F505="","",'Preencher pelo celular'!F505)</f>
        <v/>
      </c>
      <c r="T87" s="14" t="str">
        <f t="shared" si="6"/>
        <v/>
      </c>
      <c r="U87" s="14" t="str">
        <f t="shared" si="7"/>
        <v/>
      </c>
      <c r="V87" s="14" t="str">
        <f t="shared" si="8"/>
        <v/>
      </c>
    </row>
    <row r="88" spans="1:22" x14ac:dyDescent="0.25">
      <c r="A88" s="13">
        <f>'Preencher pelo celular'!A506</f>
        <v>46374</v>
      </c>
      <c r="B88" s="11" t="str">
        <f>IF('Preencher pelo celular'!C506="","",'Preencher pelo celular'!C506)</f>
        <v/>
      </c>
      <c r="C88" s="11" t="str">
        <f>IF('Preencher pelo celular'!D506="","",'Preencher pelo celular'!D506)</f>
        <v/>
      </c>
      <c r="D88" s="11" t="str">
        <f>IF('Preencher pelo celular'!F506="","",'Preencher pelo celular'!F506)</f>
        <v/>
      </c>
      <c r="E88" s="11" t="str">
        <f>IF('Preencher pelo celular'!C507="","",'Preencher pelo celular'!C507)</f>
        <v/>
      </c>
      <c r="F88" s="11" t="str">
        <f>IF('Preencher pelo celular'!D507="","",'Preencher pelo celular'!D507)</f>
        <v/>
      </c>
      <c r="G88" s="11" t="str">
        <f>IF('Preencher pelo celular'!F507="","",'Preencher pelo celular'!F507)</f>
        <v/>
      </c>
      <c r="H88" s="11" t="str">
        <f>IF('Preencher pelo celular'!C508="","",'Preencher pelo celular'!C508)</f>
        <v/>
      </c>
      <c r="I88" s="11" t="str">
        <f>IF('Preencher pelo celular'!D508="","",'Preencher pelo celular'!D508)</f>
        <v/>
      </c>
      <c r="J88" s="11" t="str">
        <f>IF('Preencher pelo celular'!F508="","",'Preencher pelo celular'!F508)</f>
        <v/>
      </c>
      <c r="K88" s="11" t="str">
        <f>IF('Preencher pelo celular'!C509="","",'Preencher pelo celular'!C509)</f>
        <v/>
      </c>
      <c r="L88" s="11" t="str">
        <f>IF('Preencher pelo celular'!D509="","",'Preencher pelo celular'!D509)</f>
        <v/>
      </c>
      <c r="M88" s="11" t="str">
        <f>IF('Preencher pelo celular'!F509="","",'Preencher pelo celular'!F509)</f>
        <v/>
      </c>
      <c r="N88" s="11" t="str">
        <f>IF('Preencher pelo celular'!C510="","",'Preencher pelo celular'!C510)</f>
        <v/>
      </c>
      <c r="O88" s="11" t="str">
        <f>IF('Preencher pelo celular'!D510="","",'Preencher pelo celular'!D510)</f>
        <v/>
      </c>
      <c r="P88" s="11" t="str">
        <f>IF('Preencher pelo celular'!F510="","",'Preencher pelo celular'!F510)</f>
        <v/>
      </c>
      <c r="Q88" s="11" t="str">
        <f>IF('Preencher pelo celular'!C511="","",'Preencher pelo celular'!C511)</f>
        <v/>
      </c>
      <c r="R88" s="11" t="str">
        <f>IF('Preencher pelo celular'!D511="","",'Preencher pelo celular'!D511)</f>
        <v/>
      </c>
      <c r="S88" s="11" t="str">
        <f>IF('Preencher pelo celular'!F511="","",'Preencher pelo celular'!F511)</f>
        <v/>
      </c>
      <c r="T88" s="14" t="str">
        <f t="shared" si="6"/>
        <v/>
      </c>
      <c r="U88" s="14" t="str">
        <f t="shared" si="7"/>
        <v/>
      </c>
      <c r="V88" s="14" t="str">
        <f t="shared" si="8"/>
        <v/>
      </c>
    </row>
    <row r="89" spans="1:22" x14ac:dyDescent="0.25">
      <c r="A89" s="15">
        <f>'Preencher pelo celular'!A512</f>
        <v>46375</v>
      </c>
      <c r="B89" s="16" t="str">
        <f>IF('Preencher pelo celular'!C512="","",'Preencher pelo celular'!C512)</f>
        <v/>
      </c>
      <c r="C89" s="16" t="str">
        <f>IF('Preencher pelo celular'!D512="","",'Preencher pelo celular'!D512)</f>
        <v/>
      </c>
      <c r="D89" s="16" t="str">
        <f>IF('Preencher pelo celular'!F512="","",'Preencher pelo celular'!F512)</f>
        <v/>
      </c>
      <c r="E89" s="16" t="str">
        <f>IF('Preencher pelo celular'!C513="","",'Preencher pelo celular'!C513)</f>
        <v/>
      </c>
      <c r="F89" s="16" t="str">
        <f>IF('Preencher pelo celular'!D513="","",'Preencher pelo celular'!D513)</f>
        <v/>
      </c>
      <c r="G89" s="16" t="str">
        <f>IF('Preencher pelo celular'!F513="","",'Preencher pelo celular'!F513)</f>
        <v/>
      </c>
      <c r="H89" s="16" t="str">
        <f>IF('Preencher pelo celular'!C514="","",'Preencher pelo celular'!C514)</f>
        <v/>
      </c>
      <c r="I89" s="16" t="str">
        <f>IF('Preencher pelo celular'!D514="","",'Preencher pelo celular'!D514)</f>
        <v/>
      </c>
      <c r="J89" s="16" t="str">
        <f>IF('Preencher pelo celular'!F514="","",'Preencher pelo celular'!F514)</f>
        <v/>
      </c>
      <c r="K89" s="16" t="str">
        <f>IF('Preencher pelo celular'!C515="","",'Preencher pelo celular'!C515)</f>
        <v/>
      </c>
      <c r="L89" s="16" t="str">
        <f>IF('Preencher pelo celular'!D515="","",'Preencher pelo celular'!D515)</f>
        <v/>
      </c>
      <c r="M89" s="16" t="str">
        <f>IF('Preencher pelo celular'!F515="","",'Preencher pelo celular'!F515)</f>
        <v/>
      </c>
      <c r="N89" s="16" t="str">
        <f>IF('Preencher pelo celular'!C516="","",'Preencher pelo celular'!C516)</f>
        <v/>
      </c>
      <c r="O89" s="16" t="str">
        <f>IF('Preencher pelo celular'!D516="","",'Preencher pelo celular'!D516)</f>
        <v/>
      </c>
      <c r="P89" s="16" t="str">
        <f>IF('Preencher pelo celular'!F516="","",'Preencher pelo celular'!F516)</f>
        <v/>
      </c>
      <c r="Q89" s="16" t="str">
        <f>IF('Preencher pelo celular'!C517="","",'Preencher pelo celular'!C517)</f>
        <v/>
      </c>
      <c r="R89" s="16" t="str">
        <f>IF('Preencher pelo celular'!D517="","",'Preencher pelo celular'!D517)</f>
        <v/>
      </c>
      <c r="S89" s="16" t="str">
        <f>IF('Preencher pelo celular'!F517="","",'Preencher pelo celular'!F517)</f>
        <v/>
      </c>
      <c r="T89" s="14" t="str">
        <f t="shared" si="6"/>
        <v/>
      </c>
      <c r="U89" s="14" t="str">
        <f t="shared" si="7"/>
        <v/>
      </c>
      <c r="V89" s="14" t="str">
        <f t="shared" si="8"/>
        <v/>
      </c>
    </row>
    <row r="90" spans="1:22" x14ac:dyDescent="0.25">
      <c r="A90" s="13">
        <f>'Preencher pelo celular'!A518</f>
        <v>46376</v>
      </c>
      <c r="B90" s="11" t="str">
        <f>IF('Preencher pelo celular'!C518="","",'Preencher pelo celular'!C518)</f>
        <v/>
      </c>
      <c r="C90" s="11" t="str">
        <f>IF('Preencher pelo celular'!D518="","",'Preencher pelo celular'!D518)</f>
        <v/>
      </c>
      <c r="D90" s="11" t="str">
        <f>IF('Preencher pelo celular'!F518="","",'Preencher pelo celular'!F518)</f>
        <v/>
      </c>
      <c r="E90" s="11" t="str">
        <f>IF('Preencher pelo celular'!C519="","",'Preencher pelo celular'!C519)</f>
        <v/>
      </c>
      <c r="F90" s="11" t="str">
        <f>IF('Preencher pelo celular'!D519="","",'Preencher pelo celular'!D519)</f>
        <v/>
      </c>
      <c r="G90" s="11" t="str">
        <f>IF('Preencher pelo celular'!F519="","",'Preencher pelo celular'!F519)</f>
        <v/>
      </c>
      <c r="H90" s="11" t="str">
        <f>IF('Preencher pelo celular'!C520="","",'Preencher pelo celular'!C520)</f>
        <v/>
      </c>
      <c r="I90" s="11" t="str">
        <f>IF('Preencher pelo celular'!D520="","",'Preencher pelo celular'!D520)</f>
        <v/>
      </c>
      <c r="J90" s="11" t="str">
        <f>IF('Preencher pelo celular'!F520="","",'Preencher pelo celular'!F520)</f>
        <v/>
      </c>
      <c r="K90" s="11" t="str">
        <f>IF('Preencher pelo celular'!C521="","",'Preencher pelo celular'!C521)</f>
        <v/>
      </c>
      <c r="L90" s="11" t="str">
        <f>IF('Preencher pelo celular'!D521="","",'Preencher pelo celular'!D521)</f>
        <v/>
      </c>
      <c r="M90" s="11" t="str">
        <f>IF('Preencher pelo celular'!F521="","",'Preencher pelo celular'!F521)</f>
        <v/>
      </c>
      <c r="N90" s="11" t="str">
        <f>IF('Preencher pelo celular'!C522="","",'Preencher pelo celular'!C522)</f>
        <v/>
      </c>
      <c r="O90" s="11" t="str">
        <f>IF('Preencher pelo celular'!D522="","",'Preencher pelo celular'!D522)</f>
        <v/>
      </c>
      <c r="P90" s="11" t="str">
        <f>IF('Preencher pelo celular'!F522="","",'Preencher pelo celular'!F522)</f>
        <v/>
      </c>
      <c r="Q90" s="11" t="str">
        <f>IF('Preencher pelo celular'!C523="","",'Preencher pelo celular'!C523)</f>
        <v/>
      </c>
      <c r="R90" s="11" t="str">
        <f>IF('Preencher pelo celular'!D523="","",'Preencher pelo celular'!D523)</f>
        <v/>
      </c>
      <c r="S90" s="11" t="str">
        <f>IF('Preencher pelo celular'!F523="","",'Preencher pelo celular'!F523)</f>
        <v/>
      </c>
      <c r="T90" s="14" t="str">
        <f t="shared" si="6"/>
        <v/>
      </c>
      <c r="U90" s="14" t="str">
        <f t="shared" si="7"/>
        <v/>
      </c>
      <c r="V90" s="14" t="str">
        <f t="shared" si="8"/>
        <v/>
      </c>
    </row>
    <row r="91" spans="1:22" x14ac:dyDescent="0.25">
      <c r="A91" s="15">
        <f>'Preencher pelo celular'!A524</f>
        <v>46377</v>
      </c>
      <c r="B91" s="16" t="str">
        <f>IF('Preencher pelo celular'!C524="","",'Preencher pelo celular'!C524)</f>
        <v/>
      </c>
      <c r="C91" s="16" t="str">
        <f>IF('Preencher pelo celular'!D524="","",'Preencher pelo celular'!D524)</f>
        <v/>
      </c>
      <c r="D91" s="16" t="str">
        <f>IF('Preencher pelo celular'!F524="","",'Preencher pelo celular'!F524)</f>
        <v/>
      </c>
      <c r="E91" s="16" t="str">
        <f>IF('Preencher pelo celular'!C525="","",'Preencher pelo celular'!C525)</f>
        <v/>
      </c>
      <c r="F91" s="16" t="str">
        <f>IF('Preencher pelo celular'!D525="","",'Preencher pelo celular'!D525)</f>
        <v/>
      </c>
      <c r="G91" s="16" t="str">
        <f>IF('Preencher pelo celular'!F525="","",'Preencher pelo celular'!F525)</f>
        <v/>
      </c>
      <c r="H91" s="16" t="str">
        <f>IF('Preencher pelo celular'!C526="","",'Preencher pelo celular'!C526)</f>
        <v/>
      </c>
      <c r="I91" s="16" t="str">
        <f>IF('Preencher pelo celular'!D526="","",'Preencher pelo celular'!D526)</f>
        <v/>
      </c>
      <c r="J91" s="16" t="str">
        <f>IF('Preencher pelo celular'!F526="","",'Preencher pelo celular'!F526)</f>
        <v/>
      </c>
      <c r="K91" s="16" t="str">
        <f>IF('Preencher pelo celular'!C527="","",'Preencher pelo celular'!C527)</f>
        <v/>
      </c>
      <c r="L91" s="16" t="str">
        <f>IF('Preencher pelo celular'!D527="","",'Preencher pelo celular'!D527)</f>
        <v/>
      </c>
      <c r="M91" s="16" t="str">
        <f>IF('Preencher pelo celular'!F527="","",'Preencher pelo celular'!F527)</f>
        <v/>
      </c>
      <c r="N91" s="16" t="str">
        <f>IF('Preencher pelo celular'!C528="","",'Preencher pelo celular'!C528)</f>
        <v/>
      </c>
      <c r="O91" s="16" t="str">
        <f>IF('Preencher pelo celular'!D528="","",'Preencher pelo celular'!D528)</f>
        <v/>
      </c>
      <c r="P91" s="16" t="str">
        <f>IF('Preencher pelo celular'!F528="","",'Preencher pelo celular'!F528)</f>
        <v/>
      </c>
      <c r="Q91" s="16" t="str">
        <f>IF('Preencher pelo celular'!C529="","",'Preencher pelo celular'!C529)</f>
        <v/>
      </c>
      <c r="R91" s="16" t="str">
        <f>IF('Preencher pelo celular'!D529="","",'Preencher pelo celular'!D529)</f>
        <v/>
      </c>
      <c r="S91" s="16" t="str">
        <f>IF('Preencher pelo celular'!F529="","",'Preencher pelo celular'!F529)</f>
        <v/>
      </c>
      <c r="T91" s="14" t="str">
        <f t="shared" si="6"/>
        <v/>
      </c>
      <c r="U91" s="14" t="str">
        <f t="shared" si="7"/>
        <v/>
      </c>
      <c r="V91" s="14" t="str">
        <f t="shared" si="8"/>
        <v/>
      </c>
    </row>
    <row r="92" spans="1:22" x14ac:dyDescent="0.25">
      <c r="A92" s="13">
        <f>'Preencher pelo celular'!A530</f>
        <v>46378</v>
      </c>
      <c r="B92" s="11" t="str">
        <f>IF('Preencher pelo celular'!C530="","",'Preencher pelo celular'!C530)</f>
        <v/>
      </c>
      <c r="C92" s="11" t="str">
        <f>IF('Preencher pelo celular'!D530="","",'Preencher pelo celular'!D530)</f>
        <v/>
      </c>
      <c r="D92" s="11" t="str">
        <f>IF('Preencher pelo celular'!F530="","",'Preencher pelo celular'!F530)</f>
        <v/>
      </c>
      <c r="E92" s="11" t="str">
        <f>IF('Preencher pelo celular'!C531="","",'Preencher pelo celular'!C531)</f>
        <v/>
      </c>
      <c r="F92" s="11" t="str">
        <f>IF('Preencher pelo celular'!D531="","",'Preencher pelo celular'!D531)</f>
        <v/>
      </c>
      <c r="G92" s="11" t="str">
        <f>IF('Preencher pelo celular'!F531="","",'Preencher pelo celular'!F531)</f>
        <v/>
      </c>
      <c r="H92" s="11" t="str">
        <f>IF('Preencher pelo celular'!C532="","",'Preencher pelo celular'!C532)</f>
        <v/>
      </c>
      <c r="I92" s="11" t="str">
        <f>IF('Preencher pelo celular'!D532="","",'Preencher pelo celular'!D532)</f>
        <v/>
      </c>
      <c r="J92" s="11" t="str">
        <f>IF('Preencher pelo celular'!F532="","",'Preencher pelo celular'!F532)</f>
        <v/>
      </c>
      <c r="K92" s="11" t="str">
        <f>IF('Preencher pelo celular'!C533="","",'Preencher pelo celular'!C533)</f>
        <v/>
      </c>
      <c r="L92" s="11" t="str">
        <f>IF('Preencher pelo celular'!D533="","",'Preencher pelo celular'!D533)</f>
        <v/>
      </c>
      <c r="M92" s="11" t="str">
        <f>IF('Preencher pelo celular'!F533="","",'Preencher pelo celular'!F533)</f>
        <v/>
      </c>
      <c r="N92" s="11" t="str">
        <f>IF('Preencher pelo celular'!C534="","",'Preencher pelo celular'!C534)</f>
        <v/>
      </c>
      <c r="O92" s="11" t="str">
        <f>IF('Preencher pelo celular'!D534="","",'Preencher pelo celular'!D534)</f>
        <v/>
      </c>
      <c r="P92" s="11" t="str">
        <f>IF('Preencher pelo celular'!F534="","",'Preencher pelo celular'!F534)</f>
        <v/>
      </c>
      <c r="Q92" s="11" t="str">
        <f>IF('Preencher pelo celular'!C535="","",'Preencher pelo celular'!C535)</f>
        <v/>
      </c>
      <c r="R92" s="11" t="str">
        <f>IF('Preencher pelo celular'!D535="","",'Preencher pelo celular'!D535)</f>
        <v/>
      </c>
      <c r="S92" s="11" t="str">
        <f>IF('Preencher pelo celular'!F535="","",'Preencher pelo celular'!F535)</f>
        <v/>
      </c>
      <c r="T92" s="14" t="str">
        <f t="shared" si="6"/>
        <v/>
      </c>
      <c r="U92" s="14" t="str">
        <f t="shared" si="7"/>
        <v/>
      </c>
      <c r="V92" s="14" t="str">
        <f t="shared" si="8"/>
        <v/>
      </c>
    </row>
    <row r="93" spans="1:22" x14ac:dyDescent="0.25">
      <c r="A93" s="15">
        <f>'Preencher pelo celular'!A536</f>
        <v>46379</v>
      </c>
      <c r="B93" s="16" t="str">
        <f>IF('Preencher pelo celular'!C536="","",'Preencher pelo celular'!C536)</f>
        <v/>
      </c>
      <c r="C93" s="16" t="str">
        <f>IF('Preencher pelo celular'!D536="","",'Preencher pelo celular'!D536)</f>
        <v/>
      </c>
      <c r="D93" s="16" t="str">
        <f>IF('Preencher pelo celular'!F536="","",'Preencher pelo celular'!F536)</f>
        <v/>
      </c>
      <c r="E93" s="16" t="str">
        <f>IF('Preencher pelo celular'!C537="","",'Preencher pelo celular'!C537)</f>
        <v/>
      </c>
      <c r="F93" s="16" t="str">
        <f>IF('Preencher pelo celular'!D537="","",'Preencher pelo celular'!D537)</f>
        <v/>
      </c>
      <c r="G93" s="16" t="str">
        <f>IF('Preencher pelo celular'!F537="","",'Preencher pelo celular'!F537)</f>
        <v/>
      </c>
      <c r="H93" s="16" t="str">
        <f>IF('Preencher pelo celular'!C538="","",'Preencher pelo celular'!C538)</f>
        <v/>
      </c>
      <c r="I93" s="16" t="str">
        <f>IF('Preencher pelo celular'!D538="","",'Preencher pelo celular'!D538)</f>
        <v/>
      </c>
      <c r="J93" s="16" t="str">
        <f>IF('Preencher pelo celular'!F538="","",'Preencher pelo celular'!F538)</f>
        <v/>
      </c>
      <c r="K93" s="16" t="str">
        <f>IF('Preencher pelo celular'!C539="","",'Preencher pelo celular'!C539)</f>
        <v/>
      </c>
      <c r="L93" s="16" t="str">
        <f>IF('Preencher pelo celular'!D539="","",'Preencher pelo celular'!D539)</f>
        <v/>
      </c>
      <c r="M93" s="16" t="str">
        <f>IF('Preencher pelo celular'!F539="","",'Preencher pelo celular'!F539)</f>
        <v/>
      </c>
      <c r="N93" s="16" t="str">
        <f>IF('Preencher pelo celular'!C540="","",'Preencher pelo celular'!C540)</f>
        <v/>
      </c>
      <c r="O93" s="16" t="str">
        <f>IF('Preencher pelo celular'!D540="","",'Preencher pelo celular'!D540)</f>
        <v/>
      </c>
      <c r="P93" s="16" t="str">
        <f>IF('Preencher pelo celular'!F540="","",'Preencher pelo celular'!F540)</f>
        <v/>
      </c>
      <c r="Q93" s="16" t="str">
        <f>IF('Preencher pelo celular'!C541="","",'Preencher pelo celular'!C541)</f>
        <v/>
      </c>
      <c r="R93" s="16" t="str">
        <f>IF('Preencher pelo celular'!D541="","",'Preencher pelo celular'!D541)</f>
        <v/>
      </c>
      <c r="S93" s="16" t="str">
        <f>IF('Preencher pelo celular'!F541="","",'Preencher pelo celular'!F541)</f>
        <v/>
      </c>
      <c r="T93" s="14" t="str">
        <f t="shared" si="6"/>
        <v/>
      </c>
      <c r="U93" s="14" t="str">
        <f t="shared" si="7"/>
        <v/>
      </c>
      <c r="V93" s="14" t="str">
        <f t="shared" si="8"/>
        <v/>
      </c>
    </row>
    <row r="95" spans="1:22" x14ac:dyDescent="0.25">
      <c r="A95" s="17" t="s">
        <v>20</v>
      </c>
    </row>
  </sheetData>
  <mergeCells count="11">
    <mergeCell ref="A1:V1"/>
    <mergeCell ref="A2:A3"/>
    <mergeCell ref="H2:J2"/>
    <mergeCell ref="T2:T3"/>
    <mergeCell ref="B2:D2"/>
    <mergeCell ref="Q2:S2"/>
    <mergeCell ref="E2:G2"/>
    <mergeCell ref="K2:M2"/>
    <mergeCell ref="N2:P2"/>
    <mergeCell ref="V2:V3"/>
    <mergeCell ref="U2:U3"/>
  </mergeCells>
  <pageMargins left="0.4" right="0.4" top="1" bottom="1" header="0.5" footer="0.5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  <pageSetUpPr fitToPage="1"/>
  </sheetPr>
  <dimension ref="A1:K18"/>
  <sheetViews>
    <sheetView showGridLines="0" workbookViewId="0"/>
  </sheetViews>
  <sheetFormatPr defaultRowHeight="15" x14ac:dyDescent="0.25"/>
  <cols>
    <col min="1" max="1" width="18" customWidth="1"/>
    <col min="2" max="2" width="12" customWidth="1"/>
    <col min="3" max="5" width="10" customWidth="1"/>
    <col min="6" max="6" width="13" customWidth="1"/>
    <col min="7" max="10" width="11" customWidth="1"/>
    <col min="11" max="11" width="15" customWidth="1"/>
  </cols>
  <sheetData>
    <row r="1" spans="1:11" ht="30" customHeight="1" x14ac:dyDescent="0.25">
      <c r="A1" s="37" t="s">
        <v>21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3" spans="1:11" x14ac:dyDescent="0.25">
      <c r="A3" s="18" t="s">
        <v>22</v>
      </c>
      <c r="B3" s="19">
        <f>'Como usar'!$B$4</f>
        <v>46290</v>
      </c>
      <c r="C3" s="17" t="s">
        <v>23</v>
      </c>
    </row>
    <row r="4" spans="1:11" x14ac:dyDescent="0.25">
      <c r="A4" s="18" t="s">
        <v>24</v>
      </c>
      <c r="B4" s="19">
        <f>'Como usar'!$B$4+89</f>
        <v>46379</v>
      </c>
    </row>
    <row r="5" spans="1:11" x14ac:dyDescent="0.25">
      <c r="A5" s="18" t="s">
        <v>25</v>
      </c>
      <c r="B5" s="20">
        <f>SUMPRODUCT(('Histórico por dia'!$A$4:$A$93&gt;=$B$3)*('Histórico por dia'!$A$4:$A$93&lt;=$B$4)*((('Histórico por dia'!$T$4:$T$93&lt;&gt;"")+('Histórico por dia'!$U$4:$U$93&lt;&gt;"")+('Histórico por dia'!$V$4:$V$93&lt;&gt;""))&gt;0))</f>
        <v>0</v>
      </c>
    </row>
    <row r="7" spans="1:11" ht="39.950000000000003" customHeight="1" x14ac:dyDescent="0.25">
      <c r="A7" s="8" t="s">
        <v>1</v>
      </c>
      <c r="B7" s="8" t="s">
        <v>26</v>
      </c>
      <c r="C7" s="8" t="s">
        <v>27</v>
      </c>
      <c r="D7" s="8" t="s">
        <v>28</v>
      </c>
      <c r="E7" s="8" t="s">
        <v>29</v>
      </c>
      <c r="F7" s="8" t="s">
        <v>30</v>
      </c>
      <c r="G7" s="8" t="s">
        <v>31</v>
      </c>
      <c r="H7" s="8" t="s">
        <v>32</v>
      </c>
      <c r="I7" s="8" t="s">
        <v>33</v>
      </c>
      <c r="J7" s="8" t="s">
        <v>34</v>
      </c>
      <c r="K7" s="8" t="s">
        <v>35</v>
      </c>
    </row>
    <row r="8" spans="1:11" ht="20.100000000000001" customHeight="1" x14ac:dyDescent="0.25">
      <c r="A8" s="21" t="s">
        <v>7</v>
      </c>
      <c r="B8" s="22">
        <f>COUNTIFS('Preencher pelo celular'!$C$2:$C$541,"&lt;&gt;",'Preencher pelo celular'!$B$2:$B$541,$A8,'Preencher pelo celular'!$A$2:$A$541,"&gt;="&amp;$B$3,'Preencher pelo celular'!$A$2:$A$541,"&lt;="&amp;$B$4)</f>
        <v>0</v>
      </c>
      <c r="C8" s="22" t="str">
        <f>IFERROR(AVERAGEIFS('Preencher pelo celular'!$C$2:$C$541,'Preencher pelo celular'!$B$2:$B$541,$A8,'Preencher pelo celular'!$A$2:$A$541,"&gt;="&amp;$B$3,'Preencher pelo celular'!$A$2:$A$541,"&lt;="&amp;$B$4),"-")</f>
        <v>-</v>
      </c>
      <c r="D8" s="22" t="str">
        <f>IF(B8=0,"-",_xlfn.MINIFS('Preencher pelo celular'!$C$2:$C$541,'Preencher pelo celular'!$B$2:$B$541,$A8,'Preencher pelo celular'!$A$2:$A$541,"&gt;="&amp;$B$3,'Preencher pelo celular'!$A$2:$A$541,"&lt;="&amp;$B$4))</f>
        <v>-</v>
      </c>
      <c r="E8" s="22" t="str">
        <f>IF(B8=0,"-",_xlfn.MAXIFS('Preencher pelo celular'!$C$2:$C$541,'Preencher pelo celular'!$B$2:$B$541,$A8,'Preencher pelo celular'!$A$2:$A$541,"&gt;="&amp;$B$3,'Preencher pelo celular'!$A$2:$A$541,"&lt;="&amp;$B$4))</f>
        <v>-</v>
      </c>
      <c r="F8" s="23" t="str">
        <f>IFERROR(AVERAGEIFS('Preencher pelo celular'!$D$2:$D$541,'Preencher pelo celular'!$B$2:$B$541,$A8,'Preencher pelo celular'!$A$2:$A$541,"&gt;="&amp;$B$3,'Preencher pelo celular'!$A$2:$A$541,"&lt;="&amp;$B$4),"-")</f>
        <v>-</v>
      </c>
      <c r="G8" s="22">
        <f>COUNTIFS('Preencher pelo celular'!$F$2:$F$541,"&lt;&gt;",'Preencher pelo celular'!$B$2:$B$541,$A8,'Preencher pelo celular'!$A$2:$A$541,"&gt;="&amp;$B$3,'Preencher pelo celular'!$A$2:$A$541,"&lt;="&amp;$B$4)</f>
        <v>0</v>
      </c>
      <c r="H8" s="22" t="str">
        <f>IFERROR(AVERAGEIFS('Preencher pelo celular'!$F$2:$F$541,'Preencher pelo celular'!$B$2:$B$541,$A8,'Preencher pelo celular'!$A$2:$A$541,"&gt;="&amp;$B$3,'Preencher pelo celular'!$A$2:$A$541,"&lt;="&amp;$B$4),"-")</f>
        <v>-</v>
      </c>
      <c r="I8" s="22" t="str">
        <f>IF(G8=0,"-",_xlfn.MINIFS('Preencher pelo celular'!$F$2:$F$541,'Preencher pelo celular'!$B$2:$B$541,$A8,'Preencher pelo celular'!$A$2:$A$541,"&gt;="&amp;$B$3,'Preencher pelo celular'!$A$2:$A$541,"&lt;="&amp;$B$4))</f>
        <v>-</v>
      </c>
      <c r="J8" s="22" t="str">
        <f>IF(G8=0,"-",_xlfn.MAXIFS('Preencher pelo celular'!$F$2:$F$541,'Preencher pelo celular'!$B$2:$B$541,$A8,'Preencher pelo celular'!$A$2:$A$541,"&gt;="&amp;$B$3,'Preencher pelo celular'!$A$2:$A$541,"&lt;="&amp;$B$4))</f>
        <v>-</v>
      </c>
      <c r="K8" s="24" t="str">
        <f t="shared" ref="K8:K14" si="0">IF(OR(C8="-",H8="-"),"-",H8-C8)</f>
        <v>-</v>
      </c>
    </row>
    <row r="9" spans="1:11" ht="20.100000000000001" customHeight="1" x14ac:dyDescent="0.25">
      <c r="A9" s="21" t="s">
        <v>8</v>
      </c>
      <c r="B9" s="22">
        <f>COUNTIFS('Preencher pelo celular'!$C$2:$C$541,"&lt;&gt;",'Preencher pelo celular'!$B$2:$B$541,$A9,'Preencher pelo celular'!$A$2:$A$541,"&gt;="&amp;$B$3,'Preencher pelo celular'!$A$2:$A$541,"&lt;="&amp;$B$4)</f>
        <v>0</v>
      </c>
      <c r="C9" s="22" t="str">
        <f>IFERROR(AVERAGEIFS('Preencher pelo celular'!$C$2:$C$541,'Preencher pelo celular'!$B$2:$B$541,$A9,'Preencher pelo celular'!$A$2:$A$541,"&gt;="&amp;$B$3,'Preencher pelo celular'!$A$2:$A$541,"&lt;="&amp;$B$4),"-")</f>
        <v>-</v>
      </c>
      <c r="D9" s="22" t="str">
        <f>IF(B9=0,"-",_xlfn.MINIFS('Preencher pelo celular'!$C$2:$C$541,'Preencher pelo celular'!$B$2:$B$541,$A9,'Preencher pelo celular'!$A$2:$A$541,"&gt;="&amp;$B$3,'Preencher pelo celular'!$A$2:$A$541,"&lt;="&amp;$B$4))</f>
        <v>-</v>
      </c>
      <c r="E9" s="22" t="str">
        <f>IF(B9=0,"-",_xlfn.MAXIFS('Preencher pelo celular'!$C$2:$C$541,'Preencher pelo celular'!$B$2:$B$541,$A9,'Preencher pelo celular'!$A$2:$A$541,"&gt;="&amp;$B$3,'Preencher pelo celular'!$A$2:$A$541,"&lt;="&amp;$B$4))</f>
        <v>-</v>
      </c>
      <c r="F9" s="23" t="str">
        <f>IFERROR(AVERAGEIFS('Preencher pelo celular'!$D$2:$D$541,'Preencher pelo celular'!$B$2:$B$541,$A9,'Preencher pelo celular'!$A$2:$A$541,"&gt;="&amp;$B$3,'Preencher pelo celular'!$A$2:$A$541,"&lt;="&amp;$B$4),"-")</f>
        <v>-</v>
      </c>
      <c r="G9" s="22">
        <f>COUNTIFS('Preencher pelo celular'!$F$2:$F$541,"&lt;&gt;",'Preencher pelo celular'!$B$2:$B$541,$A9,'Preencher pelo celular'!$A$2:$A$541,"&gt;="&amp;$B$3,'Preencher pelo celular'!$A$2:$A$541,"&lt;="&amp;$B$4)</f>
        <v>0</v>
      </c>
      <c r="H9" s="22" t="str">
        <f>IFERROR(AVERAGEIFS('Preencher pelo celular'!$F$2:$F$541,'Preencher pelo celular'!$B$2:$B$541,$A9,'Preencher pelo celular'!$A$2:$A$541,"&gt;="&amp;$B$3,'Preencher pelo celular'!$A$2:$A$541,"&lt;="&amp;$B$4),"-")</f>
        <v>-</v>
      </c>
      <c r="I9" s="22" t="str">
        <f>IF(G9=0,"-",_xlfn.MINIFS('Preencher pelo celular'!$F$2:$F$541,'Preencher pelo celular'!$B$2:$B$541,$A9,'Preencher pelo celular'!$A$2:$A$541,"&gt;="&amp;$B$3,'Preencher pelo celular'!$A$2:$A$541,"&lt;="&amp;$B$4))</f>
        <v>-</v>
      </c>
      <c r="J9" s="22" t="str">
        <f>IF(G9=0,"-",_xlfn.MAXIFS('Preencher pelo celular'!$F$2:$F$541,'Preencher pelo celular'!$B$2:$B$541,$A9,'Preencher pelo celular'!$A$2:$A$541,"&gt;="&amp;$B$3,'Preencher pelo celular'!$A$2:$A$541,"&lt;="&amp;$B$4))</f>
        <v>-</v>
      </c>
      <c r="K9" s="24" t="str">
        <f t="shared" si="0"/>
        <v>-</v>
      </c>
    </row>
    <row r="10" spans="1:11" ht="20.100000000000001" customHeight="1" x14ac:dyDescent="0.25">
      <c r="A10" s="21" t="s">
        <v>9</v>
      </c>
      <c r="B10" s="22">
        <f>COUNTIFS('Preencher pelo celular'!$C$2:$C$541,"&lt;&gt;",'Preencher pelo celular'!$B$2:$B$541,$A10,'Preencher pelo celular'!$A$2:$A$541,"&gt;="&amp;$B$3,'Preencher pelo celular'!$A$2:$A$541,"&lt;="&amp;$B$4)</f>
        <v>0</v>
      </c>
      <c r="C10" s="22" t="str">
        <f>IFERROR(AVERAGEIFS('Preencher pelo celular'!$C$2:$C$541,'Preencher pelo celular'!$B$2:$B$541,$A10,'Preencher pelo celular'!$A$2:$A$541,"&gt;="&amp;$B$3,'Preencher pelo celular'!$A$2:$A$541,"&lt;="&amp;$B$4),"-")</f>
        <v>-</v>
      </c>
      <c r="D10" s="22" t="str">
        <f>IF(B10=0,"-",_xlfn.MINIFS('Preencher pelo celular'!$C$2:$C$541,'Preencher pelo celular'!$B$2:$B$541,$A10,'Preencher pelo celular'!$A$2:$A$541,"&gt;="&amp;$B$3,'Preencher pelo celular'!$A$2:$A$541,"&lt;="&amp;$B$4))</f>
        <v>-</v>
      </c>
      <c r="E10" s="22" t="str">
        <f>IF(B10=0,"-",_xlfn.MAXIFS('Preencher pelo celular'!$C$2:$C$541,'Preencher pelo celular'!$B$2:$B$541,$A10,'Preencher pelo celular'!$A$2:$A$541,"&gt;="&amp;$B$3,'Preencher pelo celular'!$A$2:$A$541,"&lt;="&amp;$B$4))</f>
        <v>-</v>
      </c>
      <c r="F10" s="23" t="str">
        <f>IFERROR(AVERAGEIFS('Preencher pelo celular'!$D$2:$D$541,'Preencher pelo celular'!$B$2:$B$541,$A10,'Preencher pelo celular'!$A$2:$A$541,"&gt;="&amp;$B$3,'Preencher pelo celular'!$A$2:$A$541,"&lt;="&amp;$B$4),"-")</f>
        <v>-</v>
      </c>
      <c r="G10" s="22">
        <f>COUNTIFS('Preencher pelo celular'!$F$2:$F$541,"&lt;&gt;",'Preencher pelo celular'!$B$2:$B$541,$A10,'Preencher pelo celular'!$A$2:$A$541,"&gt;="&amp;$B$3,'Preencher pelo celular'!$A$2:$A$541,"&lt;="&amp;$B$4)</f>
        <v>0</v>
      </c>
      <c r="H10" s="22" t="str">
        <f>IFERROR(AVERAGEIFS('Preencher pelo celular'!$F$2:$F$541,'Preencher pelo celular'!$B$2:$B$541,$A10,'Preencher pelo celular'!$A$2:$A$541,"&gt;="&amp;$B$3,'Preencher pelo celular'!$A$2:$A$541,"&lt;="&amp;$B$4),"-")</f>
        <v>-</v>
      </c>
      <c r="I10" s="22" t="str">
        <f>IF(G10=0,"-",_xlfn.MINIFS('Preencher pelo celular'!$F$2:$F$541,'Preencher pelo celular'!$B$2:$B$541,$A10,'Preencher pelo celular'!$A$2:$A$541,"&gt;="&amp;$B$3,'Preencher pelo celular'!$A$2:$A$541,"&lt;="&amp;$B$4))</f>
        <v>-</v>
      </c>
      <c r="J10" s="22" t="str">
        <f>IF(G10=0,"-",_xlfn.MAXIFS('Preencher pelo celular'!$F$2:$F$541,'Preencher pelo celular'!$B$2:$B$541,$A10,'Preencher pelo celular'!$A$2:$A$541,"&gt;="&amp;$B$3,'Preencher pelo celular'!$A$2:$A$541,"&lt;="&amp;$B$4))</f>
        <v>-</v>
      </c>
      <c r="K10" s="24" t="str">
        <f t="shared" si="0"/>
        <v>-</v>
      </c>
    </row>
    <row r="11" spans="1:11" ht="20.100000000000001" customHeight="1" x14ac:dyDescent="0.25">
      <c r="A11" s="21" t="s">
        <v>10</v>
      </c>
      <c r="B11" s="22">
        <f>COUNTIFS('Preencher pelo celular'!$C$2:$C$541,"&lt;&gt;",'Preencher pelo celular'!$B$2:$B$541,$A11,'Preencher pelo celular'!$A$2:$A$541,"&gt;="&amp;$B$3,'Preencher pelo celular'!$A$2:$A$541,"&lt;="&amp;$B$4)</f>
        <v>0</v>
      </c>
      <c r="C11" s="22" t="str">
        <f>IFERROR(AVERAGEIFS('Preencher pelo celular'!$C$2:$C$541,'Preencher pelo celular'!$B$2:$B$541,$A11,'Preencher pelo celular'!$A$2:$A$541,"&gt;="&amp;$B$3,'Preencher pelo celular'!$A$2:$A$541,"&lt;="&amp;$B$4),"-")</f>
        <v>-</v>
      </c>
      <c r="D11" s="22" t="str">
        <f>IF(B11=0,"-",_xlfn.MINIFS('Preencher pelo celular'!$C$2:$C$541,'Preencher pelo celular'!$B$2:$B$541,$A11,'Preencher pelo celular'!$A$2:$A$541,"&gt;="&amp;$B$3,'Preencher pelo celular'!$A$2:$A$541,"&lt;="&amp;$B$4))</f>
        <v>-</v>
      </c>
      <c r="E11" s="22" t="str">
        <f>IF(B11=0,"-",_xlfn.MAXIFS('Preencher pelo celular'!$C$2:$C$541,'Preencher pelo celular'!$B$2:$B$541,$A11,'Preencher pelo celular'!$A$2:$A$541,"&gt;="&amp;$B$3,'Preencher pelo celular'!$A$2:$A$541,"&lt;="&amp;$B$4))</f>
        <v>-</v>
      </c>
      <c r="F11" s="23" t="str">
        <f>IFERROR(AVERAGEIFS('Preencher pelo celular'!$D$2:$D$541,'Preencher pelo celular'!$B$2:$B$541,$A11,'Preencher pelo celular'!$A$2:$A$541,"&gt;="&amp;$B$3,'Preencher pelo celular'!$A$2:$A$541,"&lt;="&amp;$B$4),"-")</f>
        <v>-</v>
      </c>
      <c r="G11" s="22">
        <f>COUNTIFS('Preencher pelo celular'!$F$2:$F$541,"&lt;&gt;",'Preencher pelo celular'!$B$2:$B$541,$A11,'Preencher pelo celular'!$A$2:$A$541,"&gt;="&amp;$B$3,'Preencher pelo celular'!$A$2:$A$541,"&lt;="&amp;$B$4)</f>
        <v>0</v>
      </c>
      <c r="H11" s="22" t="str">
        <f>IFERROR(AVERAGEIFS('Preencher pelo celular'!$F$2:$F$541,'Preencher pelo celular'!$B$2:$B$541,$A11,'Preencher pelo celular'!$A$2:$A$541,"&gt;="&amp;$B$3,'Preencher pelo celular'!$A$2:$A$541,"&lt;="&amp;$B$4),"-")</f>
        <v>-</v>
      </c>
      <c r="I11" s="22" t="str">
        <f>IF(G11=0,"-",_xlfn.MINIFS('Preencher pelo celular'!$F$2:$F$541,'Preencher pelo celular'!$B$2:$B$541,$A11,'Preencher pelo celular'!$A$2:$A$541,"&gt;="&amp;$B$3,'Preencher pelo celular'!$A$2:$A$541,"&lt;="&amp;$B$4))</f>
        <v>-</v>
      </c>
      <c r="J11" s="22" t="str">
        <f>IF(G11=0,"-",_xlfn.MAXIFS('Preencher pelo celular'!$F$2:$F$541,'Preencher pelo celular'!$B$2:$B$541,$A11,'Preencher pelo celular'!$A$2:$A$541,"&gt;="&amp;$B$3,'Preencher pelo celular'!$A$2:$A$541,"&lt;="&amp;$B$4))</f>
        <v>-</v>
      </c>
      <c r="K11" s="24" t="str">
        <f t="shared" si="0"/>
        <v>-</v>
      </c>
    </row>
    <row r="12" spans="1:11" ht="20.100000000000001" customHeight="1" x14ac:dyDescent="0.25">
      <c r="A12" s="21" t="s">
        <v>11</v>
      </c>
      <c r="B12" s="22">
        <f>COUNTIFS('Preencher pelo celular'!$C$2:$C$541,"&lt;&gt;",'Preencher pelo celular'!$B$2:$B$541,$A12,'Preencher pelo celular'!$A$2:$A$541,"&gt;="&amp;$B$3,'Preencher pelo celular'!$A$2:$A$541,"&lt;="&amp;$B$4)</f>
        <v>0</v>
      </c>
      <c r="C12" s="22" t="str">
        <f>IFERROR(AVERAGEIFS('Preencher pelo celular'!$C$2:$C$541,'Preencher pelo celular'!$B$2:$B$541,$A12,'Preencher pelo celular'!$A$2:$A$541,"&gt;="&amp;$B$3,'Preencher pelo celular'!$A$2:$A$541,"&lt;="&amp;$B$4),"-")</f>
        <v>-</v>
      </c>
      <c r="D12" s="22" t="str">
        <f>IF(B12=0,"-",_xlfn.MINIFS('Preencher pelo celular'!$C$2:$C$541,'Preencher pelo celular'!$B$2:$B$541,$A12,'Preencher pelo celular'!$A$2:$A$541,"&gt;="&amp;$B$3,'Preencher pelo celular'!$A$2:$A$541,"&lt;="&amp;$B$4))</f>
        <v>-</v>
      </c>
      <c r="E12" s="22" t="str">
        <f>IF(B12=0,"-",_xlfn.MAXIFS('Preencher pelo celular'!$C$2:$C$541,'Preencher pelo celular'!$B$2:$B$541,$A12,'Preencher pelo celular'!$A$2:$A$541,"&gt;="&amp;$B$3,'Preencher pelo celular'!$A$2:$A$541,"&lt;="&amp;$B$4))</f>
        <v>-</v>
      </c>
      <c r="F12" s="23" t="str">
        <f>IFERROR(AVERAGEIFS('Preencher pelo celular'!$D$2:$D$541,'Preencher pelo celular'!$B$2:$B$541,$A12,'Preencher pelo celular'!$A$2:$A$541,"&gt;="&amp;$B$3,'Preencher pelo celular'!$A$2:$A$541,"&lt;="&amp;$B$4),"-")</f>
        <v>-</v>
      </c>
      <c r="G12" s="22">
        <f>COUNTIFS('Preencher pelo celular'!$F$2:$F$541,"&lt;&gt;",'Preencher pelo celular'!$B$2:$B$541,$A12,'Preencher pelo celular'!$A$2:$A$541,"&gt;="&amp;$B$3,'Preencher pelo celular'!$A$2:$A$541,"&lt;="&amp;$B$4)</f>
        <v>0</v>
      </c>
      <c r="H12" s="22" t="str">
        <f>IFERROR(AVERAGEIFS('Preencher pelo celular'!$F$2:$F$541,'Preencher pelo celular'!$B$2:$B$541,$A12,'Preencher pelo celular'!$A$2:$A$541,"&gt;="&amp;$B$3,'Preencher pelo celular'!$A$2:$A$541,"&lt;="&amp;$B$4),"-")</f>
        <v>-</v>
      </c>
      <c r="I12" s="22" t="str">
        <f>IF(G12=0,"-",_xlfn.MINIFS('Preencher pelo celular'!$F$2:$F$541,'Preencher pelo celular'!$B$2:$B$541,$A12,'Preencher pelo celular'!$A$2:$A$541,"&gt;="&amp;$B$3,'Preencher pelo celular'!$A$2:$A$541,"&lt;="&amp;$B$4))</f>
        <v>-</v>
      </c>
      <c r="J12" s="22" t="str">
        <f>IF(G12=0,"-",_xlfn.MAXIFS('Preencher pelo celular'!$F$2:$F$541,'Preencher pelo celular'!$B$2:$B$541,$A12,'Preencher pelo celular'!$A$2:$A$541,"&gt;="&amp;$B$3,'Preencher pelo celular'!$A$2:$A$541,"&lt;="&amp;$B$4))</f>
        <v>-</v>
      </c>
      <c r="K12" s="24" t="str">
        <f t="shared" si="0"/>
        <v>-</v>
      </c>
    </row>
    <row r="13" spans="1:11" ht="20.100000000000001" customHeight="1" x14ac:dyDescent="0.25">
      <c r="A13" s="21" t="s">
        <v>12</v>
      </c>
      <c r="B13" s="22">
        <f>COUNTIFS('Preencher pelo celular'!$C$2:$C$541,"&lt;&gt;",'Preencher pelo celular'!$B$2:$B$541,$A13,'Preencher pelo celular'!$A$2:$A$541,"&gt;="&amp;$B$3,'Preencher pelo celular'!$A$2:$A$541,"&lt;="&amp;$B$4)</f>
        <v>0</v>
      </c>
      <c r="C13" s="22" t="str">
        <f>IFERROR(AVERAGEIFS('Preencher pelo celular'!$C$2:$C$541,'Preencher pelo celular'!$B$2:$B$541,$A13,'Preencher pelo celular'!$A$2:$A$541,"&gt;="&amp;$B$3,'Preencher pelo celular'!$A$2:$A$541,"&lt;="&amp;$B$4),"-")</f>
        <v>-</v>
      </c>
      <c r="D13" s="22" t="str">
        <f>IF(B13=0,"-",_xlfn.MINIFS('Preencher pelo celular'!$C$2:$C$541,'Preencher pelo celular'!$B$2:$B$541,$A13,'Preencher pelo celular'!$A$2:$A$541,"&gt;="&amp;$B$3,'Preencher pelo celular'!$A$2:$A$541,"&lt;="&amp;$B$4))</f>
        <v>-</v>
      </c>
      <c r="E13" s="22" t="str">
        <f>IF(B13=0,"-",_xlfn.MAXIFS('Preencher pelo celular'!$C$2:$C$541,'Preencher pelo celular'!$B$2:$B$541,$A13,'Preencher pelo celular'!$A$2:$A$541,"&gt;="&amp;$B$3,'Preencher pelo celular'!$A$2:$A$541,"&lt;="&amp;$B$4))</f>
        <v>-</v>
      </c>
      <c r="F13" s="23" t="str">
        <f>IFERROR(AVERAGEIFS('Preencher pelo celular'!$D$2:$D$541,'Preencher pelo celular'!$B$2:$B$541,$A13,'Preencher pelo celular'!$A$2:$A$541,"&gt;="&amp;$B$3,'Preencher pelo celular'!$A$2:$A$541,"&lt;="&amp;$B$4),"-")</f>
        <v>-</v>
      </c>
      <c r="G13" s="22">
        <f>COUNTIFS('Preencher pelo celular'!$F$2:$F$541,"&lt;&gt;",'Preencher pelo celular'!$B$2:$B$541,$A13,'Preencher pelo celular'!$A$2:$A$541,"&gt;="&amp;$B$3,'Preencher pelo celular'!$A$2:$A$541,"&lt;="&amp;$B$4)</f>
        <v>0</v>
      </c>
      <c r="H13" s="22" t="str">
        <f>IFERROR(AVERAGEIFS('Preencher pelo celular'!$F$2:$F$541,'Preencher pelo celular'!$B$2:$B$541,$A13,'Preencher pelo celular'!$A$2:$A$541,"&gt;="&amp;$B$3,'Preencher pelo celular'!$A$2:$A$541,"&lt;="&amp;$B$4),"-")</f>
        <v>-</v>
      </c>
      <c r="I13" s="22" t="str">
        <f>IF(G13=0,"-",_xlfn.MINIFS('Preencher pelo celular'!$F$2:$F$541,'Preencher pelo celular'!$B$2:$B$541,$A13,'Preencher pelo celular'!$A$2:$A$541,"&gt;="&amp;$B$3,'Preencher pelo celular'!$A$2:$A$541,"&lt;="&amp;$B$4))</f>
        <v>-</v>
      </c>
      <c r="J13" s="22" t="str">
        <f>IF(G13=0,"-",_xlfn.MAXIFS('Preencher pelo celular'!$F$2:$F$541,'Preencher pelo celular'!$B$2:$B$541,$A13,'Preencher pelo celular'!$A$2:$A$541,"&gt;="&amp;$B$3,'Preencher pelo celular'!$A$2:$A$541,"&lt;="&amp;$B$4))</f>
        <v>-</v>
      </c>
      <c r="K13" s="24" t="str">
        <f t="shared" si="0"/>
        <v>-</v>
      </c>
    </row>
    <row r="14" spans="1:11" ht="20.100000000000001" customHeight="1" x14ac:dyDescent="0.25">
      <c r="A14" s="25" t="s">
        <v>36</v>
      </c>
      <c r="B14" s="14">
        <f>COUNTIFS('Preencher pelo celular'!$C$2:$C$541,"&lt;&gt;",'Preencher pelo celular'!$A$2:$A$541,"&gt;="&amp;$B$3,'Preencher pelo celular'!$A$2:$A$541,"&lt;="&amp;$B$4)</f>
        <v>0</v>
      </c>
      <c r="C14" s="14" t="str">
        <f>IFERROR(AVERAGEIFS('Preencher pelo celular'!$C$2:$C$541,'Preencher pelo celular'!$A$2:$A$541,"&gt;="&amp;$B$3,'Preencher pelo celular'!$A$2:$A$541,"&lt;="&amp;$B$4),"-")</f>
        <v>-</v>
      </c>
      <c r="D14" s="14" t="str">
        <f>IF(B14=0,"-",_xlfn.MINIFS('Preencher pelo celular'!$C$2:$C$541,'Preencher pelo celular'!$A$2:$A$541,"&gt;="&amp;$B$3,'Preencher pelo celular'!$A$2:$A$541,"&lt;="&amp;$B$4))</f>
        <v>-</v>
      </c>
      <c r="E14" s="14" t="str">
        <f>IF(B14=0,"-",_xlfn.MAXIFS('Preencher pelo celular'!$C$2:$C$541,'Preencher pelo celular'!$A$2:$A$541,"&gt;="&amp;$B$3,'Preencher pelo celular'!$A$2:$A$541,"&lt;="&amp;$B$4))</f>
        <v>-</v>
      </c>
      <c r="F14" s="26" t="str">
        <f>IFERROR(AVERAGEIFS('Preencher pelo celular'!$D$2:$D$541,'Preencher pelo celular'!$A$2:$A$541,"&gt;="&amp;$B$3,'Preencher pelo celular'!$A$2:$A$541,"&lt;="&amp;$B$4),"-")</f>
        <v>-</v>
      </c>
      <c r="G14" s="14">
        <f>COUNTIFS('Preencher pelo celular'!$F$2:$F$541,"&lt;&gt;",'Preencher pelo celular'!$A$2:$A$541,"&gt;="&amp;$B$3,'Preencher pelo celular'!$A$2:$A$541,"&lt;="&amp;$B$4)</f>
        <v>0</v>
      </c>
      <c r="H14" s="14" t="str">
        <f>IFERROR(AVERAGEIFS('Preencher pelo celular'!$F$2:$F$541,'Preencher pelo celular'!$A$2:$A$541,"&gt;="&amp;$B$3,'Preencher pelo celular'!$A$2:$A$541,"&lt;="&amp;$B$4),"-")</f>
        <v>-</v>
      </c>
      <c r="I14" s="14" t="str">
        <f>IF(G14=0,"-",_xlfn.MINIFS('Preencher pelo celular'!$F$2:$F$541,'Preencher pelo celular'!$A$2:$A$541,"&gt;="&amp;$B$3,'Preencher pelo celular'!$A$2:$A$541,"&lt;="&amp;$B$4))</f>
        <v>-</v>
      </c>
      <c r="J14" s="14" t="str">
        <f>IF(G14=0,"-",_xlfn.MAXIFS('Preencher pelo celular'!$F$2:$F$541,'Preencher pelo celular'!$A$2:$A$541,"&gt;="&amp;$B$3,'Preencher pelo celular'!$A$2:$A$541,"&lt;="&amp;$B$4))</f>
        <v>-</v>
      </c>
      <c r="K14" s="27" t="str">
        <f t="shared" si="0"/>
        <v>-</v>
      </c>
    </row>
    <row r="15" spans="1:11" x14ac:dyDescent="0.25"/>
    <row r="17" spans="1:11" x14ac:dyDescent="0.25">
      <c r="A17" s="39" t="s">
        <v>37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</row>
    <row r="18" spans="1:11" x14ac:dyDescent="0.25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</row>
  </sheetData>
  <mergeCells count="2">
    <mergeCell ref="A1:K1"/>
    <mergeCell ref="A17:K18"/>
  </mergeCells>
  <pageMargins left="0.75" right="0.75" top="1" bottom="1" header="0.5" footer="0.5"/>
  <pageSetup paperSize="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B23"/>
  <sheetViews>
    <sheetView showGridLines="0" workbookViewId="0"/>
  </sheetViews>
  <sheetFormatPr defaultRowHeight="15" x14ac:dyDescent="0.25"/>
  <cols>
    <col min="1" max="1" width="26" customWidth="1"/>
    <col min="2" max="2" width="62" customWidth="1"/>
  </cols>
  <sheetData>
    <row r="1" spans="1:2" ht="30" customHeight="1" x14ac:dyDescent="0.25">
      <c r="A1" s="37" t="s">
        <v>38</v>
      </c>
      <c r="B1" s="38"/>
    </row>
    <row r="3" spans="1:2" x14ac:dyDescent="0.25">
      <c r="A3" s="28" t="s">
        <v>39</v>
      </c>
    </row>
    <row r="4" spans="1:2" x14ac:dyDescent="0.25">
      <c r="A4" s="18" t="s">
        <v>40</v>
      </c>
      <c r="B4" s="29">
        <v>46290</v>
      </c>
    </row>
    <row r="6" spans="1:2" x14ac:dyDescent="0.25">
      <c r="A6" s="30" t="s">
        <v>41</v>
      </c>
      <c r="B6" s="31"/>
    </row>
    <row r="7" spans="1:2" x14ac:dyDescent="0.25">
      <c r="A7" s="32" t="s">
        <v>42</v>
      </c>
      <c r="B7" s="31" t="s">
        <v>43</v>
      </c>
    </row>
    <row r="8" spans="1:2" x14ac:dyDescent="0.25">
      <c r="A8" s="33" t="s">
        <v>44</v>
      </c>
      <c r="B8" s="31" t="s">
        <v>45</v>
      </c>
    </row>
    <row r="9" spans="1:2" x14ac:dyDescent="0.25">
      <c r="A9" s="30"/>
      <c r="B9" s="31"/>
    </row>
    <row r="10" spans="1:2" x14ac:dyDescent="0.25">
      <c r="A10" s="30" t="s">
        <v>46</v>
      </c>
      <c r="B10" s="31"/>
    </row>
    <row r="11" spans="1:2" x14ac:dyDescent="0.25">
      <c r="A11" s="34" t="s">
        <v>47</v>
      </c>
      <c r="B11" s="31" t="s">
        <v>48</v>
      </c>
    </row>
    <row r="12" spans="1:2" ht="38.25" x14ac:dyDescent="0.25">
      <c r="A12" s="34" t="s">
        <v>49</v>
      </c>
      <c r="B12" s="31" t="s">
        <v>50</v>
      </c>
    </row>
    <row r="13" spans="1:2" ht="25.5" x14ac:dyDescent="0.25">
      <c r="A13" s="34" t="s">
        <v>51</v>
      </c>
      <c r="B13" s="31" t="s">
        <v>52</v>
      </c>
    </row>
    <row r="14" spans="1:2" x14ac:dyDescent="0.25">
      <c r="A14" s="34" t="s">
        <v>53</v>
      </c>
      <c r="B14" s="31" t="s">
        <v>54</v>
      </c>
    </row>
    <row r="15" spans="1:2" ht="25.5" x14ac:dyDescent="0.25">
      <c r="A15" s="34" t="s">
        <v>55</v>
      </c>
      <c r="B15" s="31" t="s">
        <v>56</v>
      </c>
    </row>
    <row r="16" spans="1:2" ht="25.5" x14ac:dyDescent="0.25">
      <c r="A16" s="34" t="s">
        <v>57</v>
      </c>
      <c r="B16" s="31" t="s">
        <v>58</v>
      </c>
    </row>
    <row r="17" spans="1:2" x14ac:dyDescent="0.25">
      <c r="A17" s="30"/>
      <c r="B17" s="31"/>
    </row>
    <row r="18" spans="1:2" ht="25.5" x14ac:dyDescent="0.25">
      <c r="A18" s="34" t="s">
        <v>59</v>
      </c>
      <c r="B18" s="35" t="s">
        <v>60</v>
      </c>
    </row>
    <row r="19" spans="1:2" x14ac:dyDescent="0.25">
      <c r="A19" s="30"/>
      <c r="B19" s="31"/>
    </row>
    <row r="20" spans="1:2" ht="38.25" x14ac:dyDescent="0.25">
      <c r="A20" s="34" t="s">
        <v>61</v>
      </c>
      <c r="B20" s="31" t="s">
        <v>62</v>
      </c>
    </row>
    <row r="21" spans="1:2" ht="25.5" x14ac:dyDescent="0.25">
      <c r="A21" s="34" t="s">
        <v>63</v>
      </c>
      <c r="B21" s="31" t="s">
        <v>64</v>
      </c>
    </row>
    <row r="22" spans="1:2" x14ac:dyDescent="0.25">
      <c r="A22" s="30"/>
      <c r="B22" s="31"/>
    </row>
    <row r="23" spans="1:2" ht="38.25" x14ac:dyDescent="0.25">
      <c r="A23" s="34" t="s">
        <v>65</v>
      </c>
      <c r="B23" s="31" t="s">
        <v>66</v>
      </c>
    </row>
  </sheetData>
  <mergeCells count="1">
    <mergeCell ref="A1:B1"/>
  </mergeCells>
  <dataValidations count="1">
    <dataValidation type="date" operator="greaterThan" showErrorMessage="1" errorTitle="Data inválida" error="Digite uma data (dd/mm/aaaa)." sqref="B4" xr:uid="{00000000-0002-0000-0300-000000000000}">
      <formula1>36526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8080"/>
    <pageSetUpPr fitToPage="1"/>
  </sheetPr>
  <dimension ref="A1:E1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1" customWidth="1"/>
    <col min="2" max="2" width="19" customWidth="1"/>
    <col min="3" max="3" width="22" customWidth="1"/>
    <col min="4" max="4" width="41" customWidth="1"/>
    <col min="5" max="5" width="22" customWidth="1"/>
  </cols>
  <sheetData>
    <row r="1" spans="1:5" ht="32.1" customHeight="1" x14ac:dyDescent="0.25">
      <c r="A1" s="42" t="s">
        <v>67</v>
      </c>
      <c r="B1" s="38"/>
      <c r="C1" s="38"/>
      <c r="D1" s="38"/>
      <c r="E1" s="38"/>
    </row>
    <row r="2" spans="1:5" ht="24.95" customHeight="1" x14ac:dyDescent="0.25">
      <c r="A2" s="40" t="s">
        <v>68</v>
      </c>
      <c r="B2" s="38"/>
      <c r="C2" s="38"/>
      <c r="D2" s="38"/>
      <c r="E2" s="38"/>
    </row>
    <row r="3" spans="1:5" ht="42" customHeight="1" x14ac:dyDescent="0.25">
      <c r="A3" s="1" t="s">
        <v>69</v>
      </c>
      <c r="B3" s="1" t="s">
        <v>70</v>
      </c>
      <c r="C3" s="1" t="s">
        <v>71</v>
      </c>
      <c r="D3" s="1" t="s">
        <v>72</v>
      </c>
      <c r="E3" s="1" t="s">
        <v>73</v>
      </c>
    </row>
    <row r="4" spans="1:5" ht="63.95" customHeight="1" x14ac:dyDescent="0.25">
      <c r="A4" s="2" t="s">
        <v>7</v>
      </c>
      <c r="B4" s="3"/>
      <c r="C4" s="3"/>
      <c r="D4" s="4"/>
      <c r="E4" s="3"/>
    </row>
    <row r="5" spans="1:5" ht="63.95" customHeight="1" x14ac:dyDescent="0.25">
      <c r="A5" s="5" t="s">
        <v>8</v>
      </c>
      <c r="B5" s="6"/>
      <c r="C5" s="6"/>
      <c r="D5" s="7"/>
      <c r="E5" s="6"/>
    </row>
    <row r="6" spans="1:5" ht="63.95" customHeight="1" x14ac:dyDescent="0.25">
      <c r="A6" s="2" t="s">
        <v>9</v>
      </c>
      <c r="B6" s="3"/>
      <c r="C6" s="3"/>
      <c r="D6" s="4"/>
      <c r="E6" s="3"/>
    </row>
    <row r="7" spans="1:5" ht="63.95" customHeight="1" x14ac:dyDescent="0.25">
      <c r="A7" s="5" t="s">
        <v>10</v>
      </c>
      <c r="B7" s="6"/>
      <c r="C7" s="6"/>
      <c r="D7" s="7"/>
      <c r="E7" s="6"/>
    </row>
    <row r="8" spans="1:5" ht="63.95" customHeight="1" x14ac:dyDescent="0.25">
      <c r="A8" s="2" t="s">
        <v>11</v>
      </c>
      <c r="B8" s="3"/>
      <c r="C8" s="3"/>
      <c r="D8" s="4"/>
      <c r="E8" s="3"/>
    </row>
    <row r="9" spans="1:5" ht="63.95" customHeight="1" x14ac:dyDescent="0.25">
      <c r="A9" s="5" t="s">
        <v>12</v>
      </c>
      <c r="B9" s="6"/>
      <c r="C9" s="6"/>
      <c r="D9" s="7"/>
      <c r="E9" s="6"/>
    </row>
    <row r="11" spans="1:5" ht="21.95" customHeight="1" x14ac:dyDescent="0.25">
      <c r="A11" s="41" t="s">
        <v>74</v>
      </c>
      <c r="B11" s="38"/>
      <c r="C11" s="38"/>
      <c r="D11" s="38"/>
      <c r="E11" s="38"/>
    </row>
  </sheetData>
  <mergeCells count="3">
    <mergeCell ref="A2:E2"/>
    <mergeCell ref="A11:E11"/>
    <mergeCell ref="A1:E1"/>
  </mergeCells>
  <printOptions horizontalCentered="1"/>
  <pageMargins left="0.3" right="0.3" top="0.35" bottom="0.35" header="0.15" footer="0.1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Preencher pelo celular</vt:lpstr>
      <vt:lpstr>Histórico por dia</vt:lpstr>
      <vt:lpstr>Resumo</vt:lpstr>
      <vt:lpstr>Como usar</vt:lpstr>
      <vt:lpstr>Folha diária A4</vt:lpstr>
      <vt:lpstr>'Folha diária A4'!Area_de_impressao</vt:lpstr>
      <vt:lpstr>'Histórico por dia'!Titulos_de_impressao</vt:lpstr>
      <vt:lpstr>'Preencher pelo celular'!Titulos_de_impressao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Vitor Barbosa</cp:lastModifiedBy>
  <dcterms:created xsi:type="dcterms:W3CDTF">2026-09-24T22:34:25Z</dcterms:created>
  <dcterms:modified xsi:type="dcterms:W3CDTF">2026-09-25T11:08:03Z</dcterms:modified>
</cp:coreProperties>
</file>